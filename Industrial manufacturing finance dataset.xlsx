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prem/Downloads/"/>
    </mc:Choice>
  </mc:AlternateContent>
  <xr:revisionPtr revIDLastSave="0" documentId="13_ncr:1_{CDA0D158-A6D2-1B4A-A628-E24949EB90AC}" xr6:coauthVersionLast="47" xr6:coauthVersionMax="47" xr10:uidLastSave="{00000000-0000-0000-0000-000000000000}"/>
  <bookViews>
    <workbookView xWindow="0" yWindow="660" windowWidth="29400" windowHeight="16680" activeTab="7" xr2:uid="{00000000-000D-0000-FFFF-FFFF00000000}"/>
  </bookViews>
  <sheets>
    <sheet name="README" sheetId="1" r:id="rId1"/>
    <sheet name="Executive Dashboard" sheetId="2" r:id="rId2"/>
    <sheet name="Sales_Orders" sheetId="3" r:id="rId3"/>
    <sheet name="Monthly_PnL" sheetId="4" r:id="rId4"/>
    <sheet name="Product_Profitability" sheetId="5" r:id="rId5"/>
    <sheet name="Working_Capital" sheetId="6" r:id="rId6"/>
    <sheet name="Scenario_Analysis" sheetId="7" r:id="rId7"/>
    <sheet name="Finance_Formulas" sheetId="8" r:id="rId8"/>
  </sheets>
  <definedNames>
    <definedName name="_xlnm._FilterDatabase" localSheetId="3" hidden="1">Monthly_PnL!$A$1:$Q$7</definedName>
    <definedName name="_xlnm._FilterDatabase" localSheetId="4" hidden="1">Product_Profitability!$A$1:$I$5</definedName>
    <definedName name="_xlnm._FilterDatabase" localSheetId="2" hidden="1">Sales_Orders!$A$1:$S$221</definedName>
    <definedName name="_xlnm._FilterDatabase" localSheetId="6" hidden="1">Scenario_Analysis!$A$1:$E$7</definedName>
    <definedName name="_xlnm._FilterDatabase" localSheetId="5" hidden="1">Working_Capital!$A$1:$B$8</definedName>
  </definedNames>
  <calcPr calcId="0"/>
</workbook>
</file>

<file path=xl/sharedStrings.xml><?xml version="1.0" encoding="utf-8"?>
<sst xmlns="http://schemas.openxmlformats.org/spreadsheetml/2006/main" count="1465" uniqueCount="349">
  <si>
    <t>Industrial Manufacturing Finance Project</t>
  </si>
  <si>
    <t>Business context</t>
  </si>
  <si>
    <t>Fictional Indian industrial machinery manufacturer used for portfolio analysis.</t>
  </si>
  <si>
    <t>Objective</t>
  </si>
  <si>
    <t>Evaluate profitability, cost structure, working capital, order economics and financial scenarios.</t>
  </si>
  <si>
    <t>Tools</t>
  </si>
  <si>
    <t>Excel, Power BI, Python, SQL</t>
  </si>
  <si>
    <t>Suggested Power BI pages</t>
  </si>
  <si>
    <t>1. Executive P&amp;L</t>
  </si>
  <si>
    <t>2. Product Profitability</t>
  </si>
  <si>
    <t>3. Working Capital</t>
  </si>
  <si>
    <t>4. Sales Order Finance</t>
  </si>
  <si>
    <t>5. Cost Variance &amp; Scenario Analysis</t>
  </si>
  <si>
    <t>Industrial Manufacturing Finance Dashboard</t>
  </si>
  <si>
    <t>KPI</t>
  </si>
  <si>
    <t>Value</t>
  </si>
  <si>
    <t>Top Product by Revenue</t>
  </si>
  <si>
    <t>Revenue</t>
  </si>
  <si>
    <t>Model</t>
  </si>
  <si>
    <t>4-Spindle</t>
  </si>
  <si>
    <t>Gross Profit</t>
  </si>
  <si>
    <t>Gross Margin</t>
  </si>
  <si>
    <t>EBITDA</t>
  </si>
  <si>
    <t>EBITDA Margin</t>
  </si>
  <si>
    <t>Net Profit</t>
  </si>
  <si>
    <t>Net Margin</t>
  </si>
  <si>
    <t>Open / In-Progress Orders</t>
  </si>
  <si>
    <t>Month</t>
  </si>
  <si>
    <t>Apr-2026</t>
  </si>
  <si>
    <t>Aug-2026</t>
  </si>
  <si>
    <t>Jul-2026</t>
  </si>
  <si>
    <t>Jun-2026</t>
  </si>
  <si>
    <t>May-2026</t>
  </si>
  <si>
    <t>Sep-2026</t>
  </si>
  <si>
    <t>SO_Number</t>
  </si>
  <si>
    <t>SO_Date</t>
  </si>
  <si>
    <t>Customer</t>
  </si>
  <si>
    <t>Qty</t>
  </si>
  <si>
    <t>Machine_Price</t>
  </si>
  <si>
    <t>Accessories</t>
  </si>
  <si>
    <t>Service_Revenue</t>
  </si>
  <si>
    <t>Material_Cost</t>
  </si>
  <si>
    <t>Labour_Cost</t>
  </si>
  <si>
    <t>Overhead</t>
  </si>
  <si>
    <t>Total_COGS</t>
  </si>
  <si>
    <t>Gross_Profit</t>
  </si>
  <si>
    <t>Gross_Margin</t>
  </si>
  <si>
    <t>Status</t>
  </si>
  <si>
    <t>Credit_Days</t>
  </si>
  <si>
    <t>Payment_Status</t>
  </si>
  <si>
    <t>Sales_Owner</t>
  </si>
  <si>
    <t>SO-20260001</t>
  </si>
  <si>
    <t>Apex Motors</t>
  </si>
  <si>
    <t>Optima 1100</t>
  </si>
  <si>
    <t>In Production</t>
  </si>
  <si>
    <t>Outstanding</t>
  </si>
  <si>
    <t>Anil</t>
  </si>
  <si>
    <t>SO-20260002</t>
  </si>
  <si>
    <t>Crown Auto Systems</t>
  </si>
  <si>
    <t>Optima 1100CB</t>
  </si>
  <si>
    <t>Suresh</t>
  </si>
  <si>
    <t>SO-20260003</t>
  </si>
  <si>
    <t>Lumen Industries</t>
  </si>
  <si>
    <t>2-Spindle</t>
  </si>
  <si>
    <t>Priya</t>
  </si>
  <si>
    <t>SO-20260004</t>
  </si>
  <si>
    <t>Delta Components</t>
  </si>
  <si>
    <t>Completed</t>
  </si>
  <si>
    <t>Collected</t>
  </si>
  <si>
    <t>Karthik</t>
  </si>
  <si>
    <t>SO-20260005</t>
  </si>
  <si>
    <t>Kaveri Motors</t>
  </si>
  <si>
    <t>SO-20260006</t>
  </si>
  <si>
    <t>Pending Material</t>
  </si>
  <si>
    <t>SO-20260007</t>
  </si>
  <si>
    <t>Horizon Appliances</t>
  </si>
  <si>
    <t>Ready for Dispatch</t>
  </si>
  <si>
    <t>Amulya</t>
  </si>
  <si>
    <t>SO-20260008</t>
  </si>
  <si>
    <t>Bharat Electricals</t>
  </si>
  <si>
    <t>SO-20260009</t>
  </si>
  <si>
    <t>SO-20260010</t>
  </si>
  <si>
    <t>SO-20260011</t>
  </si>
  <si>
    <t>Futura Engineering</t>
  </si>
  <si>
    <t>SO-20260012</t>
  </si>
  <si>
    <t>SO-20260013</t>
  </si>
  <si>
    <t>SO-20260014</t>
  </si>
  <si>
    <t>Rahul</t>
  </si>
  <si>
    <t>SO-20260015</t>
  </si>
  <si>
    <t>Customer Hold</t>
  </si>
  <si>
    <t>SO-20260016</t>
  </si>
  <si>
    <t>SO-20260017</t>
  </si>
  <si>
    <t>SO-20260018</t>
  </si>
  <si>
    <t>Global Motion</t>
  </si>
  <si>
    <t>SO-20260019</t>
  </si>
  <si>
    <t>SO-20260020</t>
  </si>
  <si>
    <t>SO-20260021</t>
  </si>
  <si>
    <t>SO-20260022</t>
  </si>
  <si>
    <t>Jupiter Automation</t>
  </si>
  <si>
    <t>SO-20260023</t>
  </si>
  <si>
    <t>SO-20260024</t>
  </si>
  <si>
    <t>Indo Coil Works</t>
  </si>
  <si>
    <t>SO-20260025</t>
  </si>
  <si>
    <t>SO-20260026</t>
  </si>
  <si>
    <t>SO-20260027</t>
  </si>
  <si>
    <t>SO-20260028</t>
  </si>
  <si>
    <t>SO-20260029</t>
  </si>
  <si>
    <t>SO-20260030</t>
  </si>
  <si>
    <t>SO-20260031</t>
  </si>
  <si>
    <t>SO-20260032</t>
  </si>
  <si>
    <t>SO-20260033</t>
  </si>
  <si>
    <t>SO-20260034</t>
  </si>
  <si>
    <t>SO-20260035</t>
  </si>
  <si>
    <t>SO-20260036</t>
  </si>
  <si>
    <t>SO-20260037</t>
  </si>
  <si>
    <t>SO-20260038</t>
  </si>
  <si>
    <t>SO-20260039</t>
  </si>
  <si>
    <t>Epsilon Drives</t>
  </si>
  <si>
    <t>SO-20260040</t>
  </si>
  <si>
    <t>SO-20260041</t>
  </si>
  <si>
    <t>SO-20260042</t>
  </si>
  <si>
    <t>SO-20260043</t>
  </si>
  <si>
    <t>SO-20260044</t>
  </si>
  <si>
    <t>SO-20260045</t>
  </si>
  <si>
    <t>SO-20260046</t>
  </si>
  <si>
    <t>SO-20260047</t>
  </si>
  <si>
    <t>SO-20260048</t>
  </si>
  <si>
    <t>SO-20260049</t>
  </si>
  <si>
    <t>SO-20260050</t>
  </si>
  <si>
    <t>SO-20260051</t>
  </si>
  <si>
    <t>SO-20260052</t>
  </si>
  <si>
    <t>SO-20260053</t>
  </si>
  <si>
    <t>SO-20260054</t>
  </si>
  <si>
    <t>SO-20260055</t>
  </si>
  <si>
    <t>SO-20260056</t>
  </si>
  <si>
    <t>SO-20260057</t>
  </si>
  <si>
    <t>SO-20260058</t>
  </si>
  <si>
    <t>SO-20260059</t>
  </si>
  <si>
    <t>SO-20260060</t>
  </si>
  <si>
    <t>SO-20260061</t>
  </si>
  <si>
    <t>SO-20260062</t>
  </si>
  <si>
    <t>SO-20260063</t>
  </si>
  <si>
    <t>SO-20260064</t>
  </si>
  <si>
    <t>SO-20260065</t>
  </si>
  <si>
    <t>SO-20260066</t>
  </si>
  <si>
    <t>SO-20260067</t>
  </si>
  <si>
    <t>SO-20260068</t>
  </si>
  <si>
    <t>SO-20260069</t>
  </si>
  <si>
    <t>SO-20260070</t>
  </si>
  <si>
    <t>SO-20260071</t>
  </si>
  <si>
    <t>SO-20260072</t>
  </si>
  <si>
    <t>SO-20260073</t>
  </si>
  <si>
    <t>SO-20260074</t>
  </si>
  <si>
    <t>SO-20260075</t>
  </si>
  <si>
    <t>SO-20260076</t>
  </si>
  <si>
    <t>SO-20260077</t>
  </si>
  <si>
    <t>SO-20260078</t>
  </si>
  <si>
    <t>SO-20260079</t>
  </si>
  <si>
    <t>SO-20260080</t>
  </si>
  <si>
    <t>SO-20260081</t>
  </si>
  <si>
    <t>SO-20260082</t>
  </si>
  <si>
    <t>SO-20260083</t>
  </si>
  <si>
    <t>SO-20260084</t>
  </si>
  <si>
    <t>SO-20260085</t>
  </si>
  <si>
    <t>SO-20260086</t>
  </si>
  <si>
    <t>SO-20260087</t>
  </si>
  <si>
    <t>SO-20260088</t>
  </si>
  <si>
    <t>SO-20260089</t>
  </si>
  <si>
    <t>SO-20260090</t>
  </si>
  <si>
    <t>SO-20260091</t>
  </si>
  <si>
    <t>SO-20260092</t>
  </si>
  <si>
    <t>SO-20260093</t>
  </si>
  <si>
    <t>SO-20260094</t>
  </si>
  <si>
    <t>SO-20260095</t>
  </si>
  <si>
    <t>SO-20260096</t>
  </si>
  <si>
    <t>SO-20260097</t>
  </si>
  <si>
    <t>SO-20260098</t>
  </si>
  <si>
    <t>SO-20260099</t>
  </si>
  <si>
    <t>SO-20260100</t>
  </si>
  <si>
    <t>SO-20260101</t>
  </si>
  <si>
    <t>SO-20260102</t>
  </si>
  <si>
    <t>SO-20260103</t>
  </si>
  <si>
    <t>SO-20260104</t>
  </si>
  <si>
    <t>SO-20260105</t>
  </si>
  <si>
    <t>SO-20260106</t>
  </si>
  <si>
    <t>SO-20260107</t>
  </si>
  <si>
    <t>SO-20260108</t>
  </si>
  <si>
    <t>SO-20260109</t>
  </si>
  <si>
    <t>SO-20260110</t>
  </si>
  <si>
    <t>SO-20260111</t>
  </si>
  <si>
    <t>SO-20260112</t>
  </si>
  <si>
    <t>SO-20260113</t>
  </si>
  <si>
    <t>SO-20260114</t>
  </si>
  <si>
    <t>SO-20260115</t>
  </si>
  <si>
    <t>SO-20260116</t>
  </si>
  <si>
    <t>SO-20260117</t>
  </si>
  <si>
    <t>SO-20260118</t>
  </si>
  <si>
    <t>SO-20260119</t>
  </si>
  <si>
    <t>SO-20260120</t>
  </si>
  <si>
    <t>SO-20260121</t>
  </si>
  <si>
    <t>SO-20260122</t>
  </si>
  <si>
    <t>SO-20260123</t>
  </si>
  <si>
    <t>SO-20260124</t>
  </si>
  <si>
    <t>SO-20260125</t>
  </si>
  <si>
    <t>SO-20260126</t>
  </si>
  <si>
    <t>SO-20260127</t>
  </si>
  <si>
    <t>SO-20260128</t>
  </si>
  <si>
    <t>SO-20260129</t>
  </si>
  <si>
    <t>SO-20260130</t>
  </si>
  <si>
    <t>SO-20260131</t>
  </si>
  <si>
    <t>SO-20260132</t>
  </si>
  <si>
    <t>SO-20260133</t>
  </si>
  <si>
    <t>SO-20260134</t>
  </si>
  <si>
    <t>SO-20260135</t>
  </si>
  <si>
    <t>SO-20260136</t>
  </si>
  <si>
    <t>SO-20260137</t>
  </si>
  <si>
    <t>SO-20260138</t>
  </si>
  <si>
    <t>SO-20260139</t>
  </si>
  <si>
    <t>SO-20260140</t>
  </si>
  <si>
    <t>SO-20260141</t>
  </si>
  <si>
    <t>SO-20260142</t>
  </si>
  <si>
    <t>SO-20260143</t>
  </si>
  <si>
    <t>SO-20260144</t>
  </si>
  <si>
    <t>SO-20260145</t>
  </si>
  <si>
    <t>SO-20260146</t>
  </si>
  <si>
    <t>SO-20260147</t>
  </si>
  <si>
    <t>SO-20260148</t>
  </si>
  <si>
    <t>SO-20260149</t>
  </si>
  <si>
    <t>SO-20260150</t>
  </si>
  <si>
    <t>SO-20260151</t>
  </si>
  <si>
    <t>SO-20260152</t>
  </si>
  <si>
    <t>SO-20260153</t>
  </si>
  <si>
    <t>SO-20260154</t>
  </si>
  <si>
    <t>SO-20260155</t>
  </si>
  <si>
    <t>SO-20260156</t>
  </si>
  <si>
    <t>SO-20260157</t>
  </si>
  <si>
    <t>SO-20260158</t>
  </si>
  <si>
    <t>SO-20260159</t>
  </si>
  <si>
    <t>SO-20260160</t>
  </si>
  <si>
    <t>SO-20260161</t>
  </si>
  <si>
    <t>SO-20260162</t>
  </si>
  <si>
    <t>SO-20260163</t>
  </si>
  <si>
    <t>SO-20260164</t>
  </si>
  <si>
    <t>SO-20260165</t>
  </si>
  <si>
    <t>SO-20260166</t>
  </si>
  <si>
    <t>SO-20260167</t>
  </si>
  <si>
    <t>SO-20260168</t>
  </si>
  <si>
    <t>SO-20260169</t>
  </si>
  <si>
    <t>SO-20260170</t>
  </si>
  <si>
    <t>SO-20260171</t>
  </si>
  <si>
    <t>SO-20260172</t>
  </si>
  <si>
    <t>SO-20260173</t>
  </si>
  <si>
    <t>SO-20260174</t>
  </si>
  <si>
    <t>SO-20260175</t>
  </si>
  <si>
    <t>SO-20260176</t>
  </si>
  <si>
    <t>SO-20260177</t>
  </si>
  <si>
    <t>SO-20260178</t>
  </si>
  <si>
    <t>SO-20260179</t>
  </si>
  <si>
    <t>SO-20260180</t>
  </si>
  <si>
    <t>SO-20260181</t>
  </si>
  <si>
    <t>SO-20260182</t>
  </si>
  <si>
    <t>SO-20260183</t>
  </si>
  <si>
    <t>SO-20260184</t>
  </si>
  <si>
    <t>SO-20260185</t>
  </si>
  <si>
    <t>SO-20260186</t>
  </si>
  <si>
    <t>SO-20260187</t>
  </si>
  <si>
    <t>SO-20260188</t>
  </si>
  <si>
    <t>SO-20260189</t>
  </si>
  <si>
    <t>SO-20260190</t>
  </si>
  <si>
    <t>SO-20260191</t>
  </si>
  <si>
    <t>SO-20260192</t>
  </si>
  <si>
    <t>SO-20260193</t>
  </si>
  <si>
    <t>SO-20260194</t>
  </si>
  <si>
    <t>SO-20260195</t>
  </si>
  <si>
    <t>SO-20260196</t>
  </si>
  <si>
    <t>SO-20260197</t>
  </si>
  <si>
    <t>SO-20260198</t>
  </si>
  <si>
    <t>SO-20260199</t>
  </si>
  <si>
    <t>SO-20260200</t>
  </si>
  <si>
    <t>SO-20260201</t>
  </si>
  <si>
    <t>SO-20260202</t>
  </si>
  <si>
    <t>SO-20260203</t>
  </si>
  <si>
    <t>SO-20260204</t>
  </si>
  <si>
    <t>SO-20260205</t>
  </si>
  <si>
    <t>SO-20260206</t>
  </si>
  <si>
    <t>SO-20260207</t>
  </si>
  <si>
    <t>SO-20260208</t>
  </si>
  <si>
    <t>SO-20260209</t>
  </si>
  <si>
    <t>SO-20260210</t>
  </si>
  <si>
    <t>SO-20260211</t>
  </si>
  <si>
    <t>SO-20260212</t>
  </si>
  <si>
    <t>SO-20260213</t>
  </si>
  <si>
    <t>SO-20260214</t>
  </si>
  <si>
    <t>SO-20260215</t>
  </si>
  <si>
    <t>SO-20260216</t>
  </si>
  <si>
    <t>SO-20260217</t>
  </si>
  <si>
    <t>SO-20260218</t>
  </si>
  <si>
    <t>SO-20260219</t>
  </si>
  <si>
    <t>SO-20260220</t>
  </si>
  <si>
    <t>Operating_Expenses</t>
  </si>
  <si>
    <t>EBITDA_Margin</t>
  </si>
  <si>
    <t>Depreciation</t>
  </si>
  <si>
    <t>EBIT</t>
  </si>
  <si>
    <t>Interest</t>
  </si>
  <si>
    <t>PBT</t>
  </si>
  <si>
    <t>Tax</t>
  </si>
  <si>
    <t>Net_Profit</t>
  </si>
  <si>
    <t>Net_Margin</t>
  </si>
  <si>
    <t>Revenue_per_Machine</t>
  </si>
  <si>
    <t>Metric</t>
  </si>
  <si>
    <t>Amount</t>
  </si>
  <si>
    <t>Raw Material Inventory</t>
  </si>
  <si>
    <t>WIP</t>
  </si>
  <si>
    <t>Finished Goods</t>
  </si>
  <si>
    <t>Trade Receivables</t>
  </si>
  <si>
    <t>Trade Payables</t>
  </si>
  <si>
    <t>Net Working Capital</t>
  </si>
  <si>
    <t>Inventory + WIP</t>
  </si>
  <si>
    <t>Scenario</t>
  </si>
  <si>
    <t>Base</t>
  </si>
  <si>
    <t>Material +5%</t>
  </si>
  <si>
    <t>Material +10%</t>
  </si>
  <si>
    <t>Selling Price +5%</t>
  </si>
  <si>
    <t>Efficiency -10%</t>
  </si>
  <si>
    <t>Selling Price +5% &amp; Material +10%</t>
  </si>
  <si>
    <t>Formula / Logic</t>
  </si>
  <si>
    <t>Purpose</t>
  </si>
  <si>
    <t>Machine Sales + Accessories + Service</t>
  </si>
  <si>
    <t>Total operating revenue</t>
  </si>
  <si>
    <t>COGS</t>
  </si>
  <si>
    <t>Material + Labour + Manufacturing Overhead</t>
  </si>
  <si>
    <t>Direct production cost</t>
  </si>
  <si>
    <t>Revenue - COGS</t>
  </si>
  <si>
    <t>Product profitability</t>
  </si>
  <si>
    <t>Gross Profit / Revenue</t>
  </si>
  <si>
    <t>Margin quality</t>
  </si>
  <si>
    <t>Gross Profit - Operating Expenses</t>
  </si>
  <si>
    <t>Operating profitability</t>
  </si>
  <si>
    <t>EBITDA / Revenue</t>
  </si>
  <si>
    <t>Operating efficiency</t>
  </si>
  <si>
    <t>Working Capital</t>
  </si>
  <si>
    <t>Inventory + WIP + Receivables - Payables</t>
  </si>
  <si>
    <t>Cash tied in operations</t>
  </si>
  <si>
    <t>Contribution</t>
  </si>
  <si>
    <t>Selling Price - Variable Cost</t>
  </si>
  <si>
    <t>Decision-making on pricing/product mix</t>
  </si>
  <si>
    <t>Break-even Units</t>
  </si>
  <si>
    <t>Fixed Costs / Contribution per Machine</t>
  </si>
  <si>
    <t>Minimum sales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</si>
</sst>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yyyy\-mm\-dd"/>
  </numFmts>
  <fonts count="4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vs EBITDA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'Executive Dashboard'!$B$16</c:f>
              <c:strCache>
                <c:ptCount val="1"/>
                <c:pt idx="0">
                  <c:v>₹7,25,28,072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'Executive Dashboard'!$A$17:$A$22</c:f>
              <c:strCache>
                <c:ptCount val="5"/>
                <c:pt idx="0">
                  <c:v>Aug-2026</c:v>
                </c:pt>
                <c:pt idx="1">
                  <c:v>Jul-2026</c:v>
                </c:pt>
                <c:pt idx="2">
                  <c:v>Jun-2026</c:v>
                </c:pt>
                <c:pt idx="3">
                  <c:v>May-2026</c:v>
                </c:pt>
                <c:pt idx="4">
                  <c:v>Sep-2026</c:v>
                </c:pt>
              </c:strCache>
            </c:strRef>
          </c:cat>
          <c:val>
            <c:numRef>
              <c:f>'Executive Dashboard'!$B$17:$B$22</c:f>
              <c:numCache>
                <c:formatCode>\₹#,##0</c:formatCode>
                <c:ptCount val="6"/>
                <c:pt idx="0">
                  <c:v>111324530</c:v>
                </c:pt>
                <c:pt idx="1">
                  <c:v>92184727</c:v>
                </c:pt>
                <c:pt idx="2">
                  <c:v>103279423</c:v>
                </c:pt>
                <c:pt idx="3">
                  <c:v>53491887</c:v>
                </c:pt>
                <c:pt idx="4">
                  <c:v>97507506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09-5A4E-BC46-F0A56B500000}"/>
            </c:ext>
          </c:extLst>
        </c:ser>
        <c:ser>
          <c:idx val="1"/>
          <c:order val="1"/>
          <c:tx>
            <c:strRef>
              <c:f>'Executive Dashboard'!$C$16</c:f>
              <c:strCache>
                <c:ptCount val="1"/>
                <c:pt idx="0">
                  <c:v>₹2,22,11,475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'Executive Dashboard'!$A$17:$A$22</c:f>
              <c:strCache>
                <c:ptCount val="5"/>
                <c:pt idx="0">
                  <c:v>Aug-2026</c:v>
                </c:pt>
                <c:pt idx="1">
                  <c:v>Jul-2026</c:v>
                </c:pt>
                <c:pt idx="2">
                  <c:v>Jun-2026</c:v>
                </c:pt>
                <c:pt idx="3">
                  <c:v>May-2026</c:v>
                </c:pt>
                <c:pt idx="4">
                  <c:v>Sep-2026</c:v>
                </c:pt>
              </c:strCache>
            </c:strRef>
          </c:cat>
          <c:val>
            <c:numRef>
              <c:f>'Executive Dashboard'!$C$17:$C$22</c:f>
              <c:numCache>
                <c:formatCode>\₹#,##0</c:formatCode>
                <c:ptCount val="6"/>
                <c:pt idx="0">
                  <c:v>34643724</c:v>
                </c:pt>
                <c:pt idx="1">
                  <c:v>29014612</c:v>
                </c:pt>
                <c:pt idx="2">
                  <c:v>31696058</c:v>
                </c:pt>
                <c:pt idx="3">
                  <c:v>15749106</c:v>
                </c:pt>
                <c:pt idx="4">
                  <c:v>31102153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09-5A4E-BC46-F0A56B500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584200</xdr:colOff>
      <xdr:row>0</xdr:row>
      <xdr:rowOff>0</xdr:rowOff>
    </xdr:from>
    <xdr:ext cx="6489700" cy="2786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8.83203125" defaultRowHeight="15" x14ac:dyDescent="0.2"/>
  <cols>
    <col min="1" max="1" width="30" customWidth="1"/>
    <col min="2" max="2" width="85" customWidth="1"/>
  </cols>
  <sheetData>
    <row r="1" spans="1:2" ht="24" x14ac:dyDescent="0.3">
      <c r="A1" s="1" t="s">
        <v>0</v>
      </c>
    </row>
    <row r="3" spans="1:2" x14ac:dyDescent="0.2">
      <c r="A3" s="2" t="s">
        <v>1</v>
      </c>
      <c r="B3" t="s">
        <v>2</v>
      </c>
    </row>
    <row r="4" spans="1:2" x14ac:dyDescent="0.2">
      <c r="A4" s="2" t="s">
        <v>3</v>
      </c>
      <c r="B4" t="s">
        <v>4</v>
      </c>
    </row>
    <row r="5" spans="1:2" x14ac:dyDescent="0.2">
      <c r="A5" s="2" t="s">
        <v>5</v>
      </c>
      <c r="B5" t="s">
        <v>6</v>
      </c>
    </row>
    <row r="7" spans="1:2" x14ac:dyDescent="0.2">
      <c r="A7" s="2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</row>
    <row r="12" spans="1:2" x14ac:dyDescent="0.2">
      <c r="A1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B7" sqref="B7"/>
    </sheetView>
  </sheetViews>
  <sheetFormatPr baseColWidth="10" defaultColWidth="19.6640625" defaultRowHeight="15" x14ac:dyDescent="0.2"/>
  <sheetData>
    <row r="1" spans="1:5" ht="24" x14ac:dyDescent="0.2">
      <c r="A1" s="3" t="s">
        <v>13</v>
      </c>
      <c r="B1" s="4"/>
      <c r="C1" s="4"/>
      <c r="D1" s="4"/>
      <c r="E1" s="4"/>
    </row>
    <row r="2" spans="1:5" x14ac:dyDescent="0.2">
      <c r="A2" s="4"/>
      <c r="B2" s="4"/>
      <c r="C2" s="4"/>
      <c r="D2" s="4"/>
      <c r="E2" s="4"/>
    </row>
    <row r="3" spans="1:5" x14ac:dyDescent="0.2">
      <c r="A3" s="5" t="s">
        <v>14</v>
      </c>
      <c r="B3" s="5" t="s">
        <v>15</v>
      </c>
      <c r="C3" s="4"/>
      <c r="D3" s="5" t="s">
        <v>16</v>
      </c>
      <c r="E3" s="4"/>
    </row>
    <row r="4" spans="1:5" x14ac:dyDescent="0.2">
      <c r="A4" s="6" t="s">
        <v>17</v>
      </c>
      <c r="B4" s="7">
        <v>530316145</v>
      </c>
      <c r="C4" s="4"/>
      <c r="D4" s="4" t="s">
        <v>18</v>
      </c>
      <c r="E4" s="4" t="s">
        <v>19</v>
      </c>
    </row>
    <row r="5" spans="1:5" x14ac:dyDescent="0.2">
      <c r="A5" s="6" t="s">
        <v>20</v>
      </c>
      <c r="B5" s="7">
        <v>169057128</v>
      </c>
      <c r="C5" s="4"/>
      <c r="D5" s="4" t="s">
        <v>17</v>
      </c>
      <c r="E5" s="7">
        <v>223839963</v>
      </c>
    </row>
    <row r="6" spans="1:5" x14ac:dyDescent="0.2">
      <c r="A6" s="6" t="s">
        <v>21</v>
      </c>
      <c r="B6" s="8">
        <v>0.31878555762242539</v>
      </c>
      <c r="C6" s="4"/>
      <c r="D6" s="4" t="s">
        <v>21</v>
      </c>
      <c r="E6" s="8">
        <v>0.31561349480744871</v>
      </c>
    </row>
    <row r="7" spans="1:5" x14ac:dyDescent="0.2">
      <c r="A7" s="6" t="s">
        <v>22</v>
      </c>
      <c r="B7" s="7">
        <v>164417128</v>
      </c>
      <c r="C7" s="4"/>
      <c r="D7" s="4"/>
      <c r="E7" s="4"/>
    </row>
    <row r="8" spans="1:5" x14ac:dyDescent="0.2">
      <c r="A8" s="6" t="s">
        <v>23</v>
      </c>
      <c r="B8" s="8">
        <v>0.31003605971679399</v>
      </c>
      <c r="C8" s="4"/>
      <c r="D8" s="4"/>
      <c r="E8" s="4"/>
    </row>
    <row r="9" spans="1:5" x14ac:dyDescent="0.2">
      <c r="A9" s="6" t="s">
        <v>24</v>
      </c>
      <c r="B9" s="7">
        <v>122390346</v>
      </c>
      <c r="C9" s="4"/>
      <c r="D9" s="4"/>
      <c r="E9" s="4"/>
    </row>
    <row r="10" spans="1:5" x14ac:dyDescent="0.2">
      <c r="A10" s="6" t="s">
        <v>25</v>
      </c>
      <c r="B10" s="8">
        <v>0.23078751637855571</v>
      </c>
      <c r="C10" s="4"/>
      <c r="D10" s="4"/>
      <c r="E10" s="4"/>
    </row>
    <row r="11" spans="1:5" x14ac:dyDescent="0.2">
      <c r="A11" s="6" t="s">
        <v>26</v>
      </c>
      <c r="B11" s="7">
        <v>121</v>
      </c>
      <c r="C11" s="4"/>
      <c r="D11" s="4"/>
      <c r="E11" s="4"/>
    </row>
    <row r="12" spans="1:5" x14ac:dyDescent="0.2">
      <c r="A12" s="4"/>
      <c r="B12" s="4"/>
      <c r="C12" s="4"/>
      <c r="D12" s="4"/>
      <c r="E12" s="4"/>
    </row>
    <row r="13" spans="1:5" x14ac:dyDescent="0.2">
      <c r="A13" s="4"/>
      <c r="B13" s="4"/>
      <c r="C13" s="4"/>
      <c r="D13" s="4"/>
      <c r="E13" s="4"/>
    </row>
    <row r="14" spans="1:5" x14ac:dyDescent="0.2">
      <c r="A14" s="4"/>
      <c r="B14" s="4"/>
      <c r="C14" s="4"/>
      <c r="D14" s="4"/>
      <c r="E14" s="4"/>
    </row>
    <row r="15" spans="1:5" x14ac:dyDescent="0.2">
      <c r="A15" s="5" t="s">
        <v>27</v>
      </c>
      <c r="B15" s="5" t="s">
        <v>17</v>
      </c>
      <c r="C15" s="5" t="s">
        <v>22</v>
      </c>
      <c r="D15" s="5" t="s">
        <v>24</v>
      </c>
      <c r="E15" s="5" t="s">
        <v>21</v>
      </c>
    </row>
    <row r="16" spans="1:5" x14ac:dyDescent="0.2">
      <c r="A16" s="4" t="s">
        <v>28</v>
      </c>
      <c r="B16" s="7">
        <v>72528072</v>
      </c>
      <c r="C16" s="7">
        <v>22211475</v>
      </c>
      <c r="D16" s="7">
        <v>16504856.25</v>
      </c>
      <c r="E16" s="8">
        <v>0.31617378440722932</v>
      </c>
    </row>
    <row r="17" spans="1:5" x14ac:dyDescent="0.2">
      <c r="A17" s="4" t="s">
        <v>29</v>
      </c>
      <c r="B17" s="7">
        <v>111324530</v>
      </c>
      <c r="C17" s="7">
        <v>34643724</v>
      </c>
      <c r="D17" s="7">
        <v>25829043</v>
      </c>
      <c r="E17" s="8">
        <v>0.31847180491128058</v>
      </c>
    </row>
    <row r="18" spans="1:5" x14ac:dyDescent="0.2">
      <c r="A18" s="4" t="s">
        <v>30</v>
      </c>
      <c r="B18" s="7">
        <v>92184727</v>
      </c>
      <c r="C18" s="7">
        <v>29014612</v>
      </c>
      <c r="D18" s="7">
        <v>21607209</v>
      </c>
      <c r="E18" s="8">
        <v>0.32331399104756259</v>
      </c>
    </row>
    <row r="19" spans="1:5" x14ac:dyDescent="0.2">
      <c r="A19" s="4" t="s">
        <v>31</v>
      </c>
      <c r="B19" s="7">
        <v>103279423</v>
      </c>
      <c r="C19" s="7">
        <v>31696058</v>
      </c>
      <c r="D19" s="7">
        <v>23618293.5</v>
      </c>
      <c r="E19" s="8">
        <v>0.31401277290249768</v>
      </c>
    </row>
    <row r="20" spans="1:5" x14ac:dyDescent="0.2">
      <c r="A20" s="4" t="s">
        <v>32</v>
      </c>
      <c r="B20" s="7">
        <v>53491887</v>
      </c>
      <c r="C20" s="7">
        <v>15749106</v>
      </c>
      <c r="D20" s="7">
        <v>11658079.5</v>
      </c>
      <c r="E20" s="8">
        <v>0.30862822244427462</v>
      </c>
    </row>
    <row r="21" spans="1:5" x14ac:dyDescent="0.2">
      <c r="A21" s="4" t="s">
        <v>33</v>
      </c>
      <c r="B21" s="7">
        <v>97507506</v>
      </c>
      <c r="C21" s="7">
        <v>31102153</v>
      </c>
      <c r="D21" s="7">
        <v>23172864.75</v>
      </c>
      <c r="E21" s="8">
        <v>0.32743277220114719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3" width="20" customWidth="1"/>
    <col min="4" max="4" width="15" customWidth="1"/>
    <col min="5" max="5" width="12" customWidth="1"/>
    <col min="6" max="6" width="15" customWidth="1"/>
    <col min="7" max="7" width="13" customWidth="1"/>
    <col min="8" max="8" width="17" customWidth="1"/>
    <col min="9" max="9" width="12" customWidth="1"/>
    <col min="10" max="10" width="15" customWidth="1"/>
    <col min="11" max="11" width="13" customWidth="1"/>
    <col min="12" max="13" width="12" customWidth="1"/>
    <col min="14" max="14" width="14" customWidth="1"/>
    <col min="15" max="15" width="21" customWidth="1"/>
    <col min="16" max="16" width="20" customWidth="1"/>
    <col min="17" max="17" width="13" customWidth="1"/>
    <col min="18" max="18" width="16" customWidth="1"/>
    <col min="19" max="19" width="13" customWidth="1"/>
  </cols>
  <sheetData>
    <row r="1" spans="1:19" x14ac:dyDescent="0.2">
      <c r="A1" s="5" t="s">
        <v>34</v>
      </c>
      <c r="B1" s="5" t="s">
        <v>35</v>
      </c>
      <c r="C1" s="5" t="s">
        <v>36</v>
      </c>
      <c r="D1" s="5" t="s">
        <v>18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17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</row>
    <row r="2" spans="1:19" x14ac:dyDescent="0.2">
      <c r="A2" s="4" t="s">
        <v>51</v>
      </c>
      <c r="B2" s="9">
        <v>46276</v>
      </c>
      <c r="C2" s="4" t="s">
        <v>52</v>
      </c>
      <c r="D2" s="4" t="s">
        <v>53</v>
      </c>
      <c r="E2" s="4">
        <v>1</v>
      </c>
      <c r="F2" s="4">
        <v>1174204</v>
      </c>
      <c r="G2" s="4">
        <v>100000</v>
      </c>
      <c r="H2" s="4">
        <v>0</v>
      </c>
      <c r="I2" s="4">
        <v>1274204</v>
      </c>
      <c r="J2" s="4">
        <v>598078</v>
      </c>
      <c r="K2" s="4">
        <v>130094</v>
      </c>
      <c r="L2" s="4">
        <v>104887</v>
      </c>
      <c r="M2" s="4">
        <v>833059</v>
      </c>
      <c r="N2" s="4">
        <v>441145</v>
      </c>
      <c r="O2" s="4">
        <v>0.3462122234744201</v>
      </c>
      <c r="P2" s="4" t="s">
        <v>54</v>
      </c>
      <c r="Q2" s="4">
        <v>15</v>
      </c>
      <c r="R2" s="4" t="s">
        <v>55</v>
      </c>
      <c r="S2" s="4" t="s">
        <v>56</v>
      </c>
    </row>
    <row r="3" spans="1:19" x14ac:dyDescent="0.2">
      <c r="A3" s="4" t="s">
        <v>57</v>
      </c>
      <c r="B3" s="9">
        <v>46168</v>
      </c>
      <c r="C3" s="4" t="s">
        <v>58</v>
      </c>
      <c r="D3" s="4" t="s">
        <v>59</v>
      </c>
      <c r="E3" s="4">
        <v>1</v>
      </c>
      <c r="F3" s="4">
        <v>1321201</v>
      </c>
      <c r="G3" s="4">
        <v>25000</v>
      </c>
      <c r="H3" s="4">
        <v>30000</v>
      </c>
      <c r="I3" s="4">
        <v>1376201</v>
      </c>
      <c r="J3" s="4">
        <v>681434</v>
      </c>
      <c r="K3" s="4">
        <v>148745</v>
      </c>
      <c r="L3" s="4">
        <v>112187</v>
      </c>
      <c r="M3" s="4">
        <v>942366</v>
      </c>
      <c r="N3" s="4">
        <v>433835</v>
      </c>
      <c r="O3" s="4">
        <v>0.31524101493895151</v>
      </c>
      <c r="P3" s="4" t="s">
        <v>54</v>
      </c>
      <c r="Q3" s="4">
        <v>15</v>
      </c>
      <c r="R3" s="4" t="s">
        <v>55</v>
      </c>
      <c r="S3" s="4" t="s">
        <v>60</v>
      </c>
    </row>
    <row r="4" spans="1:19" x14ac:dyDescent="0.2">
      <c r="A4" s="4" t="s">
        <v>61</v>
      </c>
      <c r="B4" s="9">
        <v>46221</v>
      </c>
      <c r="C4" s="4" t="s">
        <v>62</v>
      </c>
      <c r="D4" s="4" t="s">
        <v>63</v>
      </c>
      <c r="E4" s="4">
        <v>1</v>
      </c>
      <c r="F4" s="4">
        <v>1746259</v>
      </c>
      <c r="G4" s="4">
        <v>50000</v>
      </c>
      <c r="H4" s="4">
        <v>15000</v>
      </c>
      <c r="I4" s="4">
        <v>1811259</v>
      </c>
      <c r="J4" s="4">
        <v>1019063</v>
      </c>
      <c r="K4" s="4">
        <v>166599</v>
      </c>
      <c r="L4" s="4">
        <v>127865</v>
      </c>
      <c r="M4" s="4">
        <v>1313527</v>
      </c>
      <c r="N4" s="4">
        <v>497732</v>
      </c>
      <c r="O4" s="4">
        <v>0.27479891059202471</v>
      </c>
      <c r="P4" s="4" t="s">
        <v>54</v>
      </c>
      <c r="Q4" s="4">
        <v>15</v>
      </c>
      <c r="R4" s="4" t="s">
        <v>55</v>
      </c>
      <c r="S4" s="4" t="s">
        <v>64</v>
      </c>
    </row>
    <row r="5" spans="1:19" x14ac:dyDescent="0.2">
      <c r="A5" s="4" t="s">
        <v>65</v>
      </c>
      <c r="B5" s="9">
        <v>46250</v>
      </c>
      <c r="C5" s="4" t="s">
        <v>66</v>
      </c>
      <c r="D5" s="4" t="s">
        <v>53</v>
      </c>
      <c r="E5" s="4">
        <v>3</v>
      </c>
      <c r="F5" s="4">
        <v>1191593</v>
      </c>
      <c r="G5" s="4">
        <v>50000</v>
      </c>
      <c r="H5" s="4">
        <v>50000</v>
      </c>
      <c r="I5" s="4">
        <v>3674779</v>
      </c>
      <c r="J5" s="4">
        <v>1916559</v>
      </c>
      <c r="K5" s="4">
        <v>398646</v>
      </c>
      <c r="L5" s="4">
        <v>310821</v>
      </c>
      <c r="M5" s="4">
        <v>2626026</v>
      </c>
      <c r="N5" s="4">
        <v>1048753</v>
      </c>
      <c r="O5" s="4">
        <v>0.28539212834295608</v>
      </c>
      <c r="P5" s="4" t="s">
        <v>67</v>
      </c>
      <c r="Q5" s="4">
        <v>15</v>
      </c>
      <c r="R5" s="4" t="s">
        <v>68</v>
      </c>
      <c r="S5" s="4" t="s">
        <v>69</v>
      </c>
    </row>
    <row r="6" spans="1:19" x14ac:dyDescent="0.2">
      <c r="A6" s="4" t="s">
        <v>70</v>
      </c>
      <c r="B6" s="9">
        <v>46133</v>
      </c>
      <c r="C6" s="4" t="s">
        <v>71</v>
      </c>
      <c r="D6" s="4" t="s">
        <v>59</v>
      </c>
      <c r="E6" s="4">
        <v>2</v>
      </c>
      <c r="F6" s="4">
        <v>1390504</v>
      </c>
      <c r="G6" s="4">
        <v>50000</v>
      </c>
      <c r="H6" s="4">
        <v>0</v>
      </c>
      <c r="I6" s="4">
        <v>2831008</v>
      </c>
      <c r="J6" s="4">
        <v>1435168</v>
      </c>
      <c r="K6" s="4">
        <v>310386</v>
      </c>
      <c r="L6" s="4">
        <v>205872</v>
      </c>
      <c r="M6" s="4">
        <v>1951426</v>
      </c>
      <c r="N6" s="4">
        <v>879582</v>
      </c>
      <c r="O6" s="4">
        <v>0.3106956956674089</v>
      </c>
      <c r="P6" s="4" t="s">
        <v>54</v>
      </c>
      <c r="Q6" s="4">
        <v>90</v>
      </c>
      <c r="R6" s="4" t="s">
        <v>55</v>
      </c>
      <c r="S6" s="4" t="s">
        <v>60</v>
      </c>
    </row>
    <row r="7" spans="1:19" x14ac:dyDescent="0.2">
      <c r="A7" s="4" t="s">
        <v>72</v>
      </c>
      <c r="B7" s="9">
        <v>46131</v>
      </c>
      <c r="C7" s="4" t="s">
        <v>66</v>
      </c>
      <c r="D7" s="4" t="s">
        <v>59</v>
      </c>
      <c r="E7" s="4">
        <v>1</v>
      </c>
      <c r="F7" s="4">
        <v>1363982</v>
      </c>
      <c r="G7" s="4">
        <v>100000</v>
      </c>
      <c r="H7" s="4">
        <v>0</v>
      </c>
      <c r="I7" s="4">
        <v>1463982</v>
      </c>
      <c r="J7" s="4">
        <v>718840</v>
      </c>
      <c r="K7" s="4">
        <v>135448</v>
      </c>
      <c r="L7" s="4">
        <v>121394</v>
      </c>
      <c r="M7" s="4">
        <v>975682</v>
      </c>
      <c r="N7" s="4">
        <v>488300</v>
      </c>
      <c r="O7" s="4">
        <v>0.33354235229668122</v>
      </c>
      <c r="P7" s="4" t="s">
        <v>73</v>
      </c>
      <c r="Q7" s="4">
        <v>15</v>
      </c>
      <c r="R7" s="4" t="s">
        <v>55</v>
      </c>
      <c r="S7" s="4" t="s">
        <v>56</v>
      </c>
    </row>
    <row r="8" spans="1:19" x14ac:dyDescent="0.2">
      <c r="A8" s="4" t="s">
        <v>74</v>
      </c>
      <c r="B8" s="9">
        <v>46193</v>
      </c>
      <c r="C8" s="4" t="s">
        <v>75</v>
      </c>
      <c r="D8" s="4" t="s">
        <v>19</v>
      </c>
      <c r="E8" s="4">
        <v>1</v>
      </c>
      <c r="F8" s="4">
        <v>2714705</v>
      </c>
      <c r="G8" s="4">
        <v>75000</v>
      </c>
      <c r="H8" s="4">
        <v>30000</v>
      </c>
      <c r="I8" s="4">
        <v>2819705</v>
      </c>
      <c r="J8" s="4">
        <v>1685044</v>
      </c>
      <c r="K8" s="4">
        <v>279772</v>
      </c>
      <c r="L8" s="4">
        <v>174461</v>
      </c>
      <c r="M8" s="4">
        <v>2139277</v>
      </c>
      <c r="N8" s="4">
        <v>680428</v>
      </c>
      <c r="O8" s="4">
        <v>0.24131176842967619</v>
      </c>
      <c r="P8" s="4" t="s">
        <v>76</v>
      </c>
      <c r="Q8" s="4">
        <v>90</v>
      </c>
      <c r="R8" s="4" t="s">
        <v>55</v>
      </c>
      <c r="S8" s="4" t="s">
        <v>77</v>
      </c>
    </row>
    <row r="9" spans="1:19" x14ac:dyDescent="0.2">
      <c r="A9" s="4" t="s">
        <v>78</v>
      </c>
      <c r="B9" s="9">
        <v>46180</v>
      </c>
      <c r="C9" s="4" t="s">
        <v>79</v>
      </c>
      <c r="D9" s="4" t="s">
        <v>59</v>
      </c>
      <c r="E9" s="4">
        <v>1</v>
      </c>
      <c r="F9" s="4">
        <v>1426028</v>
      </c>
      <c r="G9" s="4">
        <v>75000</v>
      </c>
      <c r="H9" s="4">
        <v>15000</v>
      </c>
      <c r="I9" s="4">
        <v>1516028</v>
      </c>
      <c r="J9" s="4">
        <v>690509</v>
      </c>
      <c r="K9" s="4">
        <v>146460</v>
      </c>
      <c r="L9" s="4">
        <v>120727</v>
      </c>
      <c r="M9" s="4">
        <v>957696</v>
      </c>
      <c r="N9" s="4">
        <v>558332</v>
      </c>
      <c r="O9" s="4">
        <v>0.36828607387198647</v>
      </c>
      <c r="P9" s="4" t="s">
        <v>67</v>
      </c>
      <c r="Q9" s="4">
        <v>30</v>
      </c>
      <c r="R9" s="4" t="s">
        <v>68</v>
      </c>
      <c r="S9" s="4" t="s">
        <v>56</v>
      </c>
    </row>
    <row r="10" spans="1:19" x14ac:dyDescent="0.2">
      <c r="A10" s="4" t="s">
        <v>80</v>
      </c>
      <c r="B10" s="9">
        <v>46141</v>
      </c>
      <c r="C10" s="4" t="s">
        <v>52</v>
      </c>
      <c r="D10" s="4" t="s">
        <v>59</v>
      </c>
      <c r="E10" s="4">
        <v>1</v>
      </c>
      <c r="F10" s="4">
        <v>1471247</v>
      </c>
      <c r="G10" s="4">
        <v>75000</v>
      </c>
      <c r="H10" s="4">
        <v>50000</v>
      </c>
      <c r="I10" s="4">
        <v>1596247</v>
      </c>
      <c r="J10" s="4">
        <v>713146</v>
      </c>
      <c r="K10" s="4">
        <v>128223</v>
      </c>
      <c r="L10" s="4">
        <v>108235</v>
      </c>
      <c r="M10" s="4">
        <v>949604</v>
      </c>
      <c r="N10" s="4">
        <v>646643</v>
      </c>
      <c r="O10" s="4">
        <v>0.40510209259594537</v>
      </c>
      <c r="P10" s="4" t="s">
        <v>67</v>
      </c>
      <c r="Q10" s="4">
        <v>75</v>
      </c>
      <c r="R10" s="4" t="s">
        <v>55</v>
      </c>
      <c r="S10" s="4" t="s">
        <v>60</v>
      </c>
    </row>
    <row r="11" spans="1:19" x14ac:dyDescent="0.2">
      <c r="A11" s="4" t="s">
        <v>81</v>
      </c>
      <c r="B11" s="9">
        <v>46142</v>
      </c>
      <c r="C11" s="4" t="s">
        <v>79</v>
      </c>
      <c r="D11" s="4" t="s">
        <v>63</v>
      </c>
      <c r="E11" s="4">
        <v>1</v>
      </c>
      <c r="F11" s="4">
        <v>1777724</v>
      </c>
      <c r="G11" s="4">
        <v>50000</v>
      </c>
      <c r="H11" s="4">
        <v>50000</v>
      </c>
      <c r="I11" s="4">
        <v>1877724</v>
      </c>
      <c r="J11" s="4">
        <v>929765</v>
      </c>
      <c r="K11" s="4">
        <v>169117</v>
      </c>
      <c r="L11" s="4">
        <v>117092</v>
      </c>
      <c r="M11" s="4">
        <v>1215974</v>
      </c>
      <c r="N11" s="4">
        <v>661750</v>
      </c>
      <c r="O11" s="4">
        <v>0.35242133561694899</v>
      </c>
      <c r="P11" s="4" t="s">
        <v>73</v>
      </c>
      <c r="Q11" s="4">
        <v>75</v>
      </c>
      <c r="R11" s="4" t="s">
        <v>55</v>
      </c>
      <c r="S11" s="4" t="s">
        <v>60</v>
      </c>
    </row>
    <row r="12" spans="1:19" x14ac:dyDescent="0.2">
      <c r="A12" s="4" t="s">
        <v>82</v>
      </c>
      <c r="B12" s="9">
        <v>46189</v>
      </c>
      <c r="C12" s="4" t="s">
        <v>83</v>
      </c>
      <c r="D12" s="4" t="s">
        <v>59</v>
      </c>
      <c r="E12" s="4">
        <v>1</v>
      </c>
      <c r="F12" s="4">
        <v>1465452</v>
      </c>
      <c r="G12" s="4">
        <v>0</v>
      </c>
      <c r="H12" s="4">
        <v>50000</v>
      </c>
      <c r="I12" s="4">
        <v>1515452</v>
      </c>
      <c r="J12" s="4">
        <v>729791</v>
      </c>
      <c r="K12" s="4">
        <v>153251</v>
      </c>
      <c r="L12" s="4">
        <v>111834</v>
      </c>
      <c r="M12" s="4">
        <v>994876</v>
      </c>
      <c r="N12" s="4">
        <v>520576</v>
      </c>
      <c r="O12" s="4">
        <v>0.34351203469327962</v>
      </c>
      <c r="P12" s="4" t="s">
        <v>67</v>
      </c>
      <c r="Q12" s="4">
        <v>15</v>
      </c>
      <c r="R12" s="4" t="s">
        <v>68</v>
      </c>
      <c r="S12" s="4" t="s">
        <v>69</v>
      </c>
    </row>
    <row r="13" spans="1:19" x14ac:dyDescent="0.2">
      <c r="A13" s="4" t="s">
        <v>84</v>
      </c>
      <c r="B13" s="9">
        <v>46174</v>
      </c>
      <c r="C13" s="4" t="s">
        <v>58</v>
      </c>
      <c r="D13" s="4" t="s">
        <v>53</v>
      </c>
      <c r="E13" s="4">
        <v>1</v>
      </c>
      <c r="F13" s="4">
        <v>1223315</v>
      </c>
      <c r="G13" s="4">
        <v>100000</v>
      </c>
      <c r="H13" s="4">
        <v>0</v>
      </c>
      <c r="I13" s="4">
        <v>1323315</v>
      </c>
      <c r="J13" s="4">
        <v>580165</v>
      </c>
      <c r="K13" s="4">
        <v>129957</v>
      </c>
      <c r="L13" s="4">
        <v>107952</v>
      </c>
      <c r="M13" s="4">
        <v>818074</v>
      </c>
      <c r="N13" s="4">
        <v>505241</v>
      </c>
      <c r="O13" s="4">
        <v>0.38179949596279039</v>
      </c>
      <c r="P13" s="4" t="s">
        <v>67</v>
      </c>
      <c r="Q13" s="4">
        <v>60</v>
      </c>
      <c r="R13" s="4" t="s">
        <v>55</v>
      </c>
      <c r="S13" s="4" t="s">
        <v>69</v>
      </c>
    </row>
    <row r="14" spans="1:19" x14ac:dyDescent="0.2">
      <c r="A14" s="4" t="s">
        <v>85</v>
      </c>
      <c r="B14" s="9">
        <v>46248</v>
      </c>
      <c r="C14" s="4" t="s">
        <v>66</v>
      </c>
      <c r="D14" s="4" t="s">
        <v>19</v>
      </c>
      <c r="E14" s="4">
        <v>3</v>
      </c>
      <c r="F14" s="4">
        <v>2996134</v>
      </c>
      <c r="G14" s="4">
        <v>75000</v>
      </c>
      <c r="H14" s="4">
        <v>15000</v>
      </c>
      <c r="I14" s="4">
        <v>9078402</v>
      </c>
      <c r="J14" s="4">
        <v>4884000</v>
      </c>
      <c r="K14" s="4">
        <v>804348</v>
      </c>
      <c r="L14" s="4">
        <v>570696</v>
      </c>
      <c r="M14" s="4">
        <v>6259044</v>
      </c>
      <c r="N14" s="4">
        <v>2819358</v>
      </c>
      <c r="O14" s="4">
        <v>0.31055663761089231</v>
      </c>
      <c r="P14" s="4" t="s">
        <v>67</v>
      </c>
      <c r="Q14" s="4">
        <v>75</v>
      </c>
      <c r="R14" s="4" t="s">
        <v>68</v>
      </c>
      <c r="S14" s="4" t="s">
        <v>77</v>
      </c>
    </row>
    <row r="15" spans="1:19" x14ac:dyDescent="0.2">
      <c r="A15" s="4" t="s">
        <v>86</v>
      </c>
      <c r="B15" s="9">
        <v>46129</v>
      </c>
      <c r="C15" s="4" t="s">
        <v>79</v>
      </c>
      <c r="D15" s="4" t="s">
        <v>63</v>
      </c>
      <c r="E15" s="4">
        <v>1</v>
      </c>
      <c r="F15" s="4">
        <v>1831588</v>
      </c>
      <c r="G15" s="4">
        <v>0</v>
      </c>
      <c r="H15" s="4">
        <v>0</v>
      </c>
      <c r="I15" s="4">
        <v>1831588</v>
      </c>
      <c r="J15" s="4">
        <v>985803</v>
      </c>
      <c r="K15" s="4">
        <v>162323</v>
      </c>
      <c r="L15" s="4">
        <v>137244</v>
      </c>
      <c r="M15" s="4">
        <v>1285370</v>
      </c>
      <c r="N15" s="4">
        <v>546218</v>
      </c>
      <c r="O15" s="4">
        <v>0.29822099729851909</v>
      </c>
      <c r="P15" s="4" t="s">
        <v>67</v>
      </c>
      <c r="Q15" s="4">
        <v>15</v>
      </c>
      <c r="R15" s="4" t="s">
        <v>55</v>
      </c>
      <c r="S15" s="4" t="s">
        <v>87</v>
      </c>
    </row>
    <row r="16" spans="1:19" x14ac:dyDescent="0.2">
      <c r="A16" s="4" t="s">
        <v>88</v>
      </c>
      <c r="B16" s="9">
        <v>46173</v>
      </c>
      <c r="C16" s="4" t="s">
        <v>66</v>
      </c>
      <c r="D16" s="4" t="s">
        <v>63</v>
      </c>
      <c r="E16" s="4">
        <v>1</v>
      </c>
      <c r="F16" s="4">
        <v>1745987</v>
      </c>
      <c r="G16" s="4">
        <v>75000</v>
      </c>
      <c r="H16" s="4">
        <v>0</v>
      </c>
      <c r="I16" s="4">
        <v>1820987</v>
      </c>
      <c r="J16" s="4">
        <v>899139</v>
      </c>
      <c r="K16" s="4">
        <v>204098</v>
      </c>
      <c r="L16" s="4">
        <v>133331</v>
      </c>
      <c r="M16" s="4">
        <v>1236568</v>
      </c>
      <c r="N16" s="4">
        <v>584419</v>
      </c>
      <c r="O16" s="4">
        <v>0.3209352949801399</v>
      </c>
      <c r="P16" s="4" t="s">
        <v>89</v>
      </c>
      <c r="Q16" s="4">
        <v>60</v>
      </c>
      <c r="R16" s="4" t="s">
        <v>55</v>
      </c>
      <c r="S16" s="4" t="s">
        <v>56</v>
      </c>
    </row>
    <row r="17" spans="1:19" x14ac:dyDescent="0.2">
      <c r="A17" s="4" t="s">
        <v>90</v>
      </c>
      <c r="B17" s="9">
        <v>46137</v>
      </c>
      <c r="C17" s="4" t="s">
        <v>79</v>
      </c>
      <c r="D17" s="4" t="s">
        <v>19</v>
      </c>
      <c r="E17" s="4">
        <v>1</v>
      </c>
      <c r="F17" s="4">
        <v>2793152</v>
      </c>
      <c r="G17" s="4">
        <v>0</v>
      </c>
      <c r="H17" s="4">
        <v>0</v>
      </c>
      <c r="I17" s="4">
        <v>2793152</v>
      </c>
      <c r="J17" s="4">
        <v>1661006</v>
      </c>
      <c r="K17" s="4">
        <v>228385</v>
      </c>
      <c r="L17" s="4">
        <v>187876</v>
      </c>
      <c r="M17" s="4">
        <v>2077267</v>
      </c>
      <c r="N17" s="4">
        <v>715885</v>
      </c>
      <c r="O17" s="4">
        <v>0.25630005098182979</v>
      </c>
      <c r="P17" s="4" t="s">
        <v>67</v>
      </c>
      <c r="Q17" s="4">
        <v>45</v>
      </c>
      <c r="R17" s="4" t="s">
        <v>55</v>
      </c>
      <c r="S17" s="4" t="s">
        <v>77</v>
      </c>
    </row>
    <row r="18" spans="1:19" x14ac:dyDescent="0.2">
      <c r="A18" s="4" t="s">
        <v>91</v>
      </c>
      <c r="B18" s="9">
        <v>46162</v>
      </c>
      <c r="C18" s="4" t="s">
        <v>79</v>
      </c>
      <c r="D18" s="4" t="s">
        <v>59</v>
      </c>
      <c r="E18" s="4">
        <v>1</v>
      </c>
      <c r="F18" s="4">
        <v>1343475</v>
      </c>
      <c r="G18" s="4">
        <v>0</v>
      </c>
      <c r="H18" s="4">
        <v>30000</v>
      </c>
      <c r="I18" s="4">
        <v>1373475</v>
      </c>
      <c r="J18" s="4">
        <v>679255</v>
      </c>
      <c r="K18" s="4">
        <v>142191</v>
      </c>
      <c r="L18" s="4">
        <v>120162</v>
      </c>
      <c r="M18" s="4">
        <v>941608</v>
      </c>
      <c r="N18" s="4">
        <v>431867</v>
      </c>
      <c r="O18" s="4">
        <v>0.31443382660769209</v>
      </c>
      <c r="P18" s="4" t="s">
        <v>89</v>
      </c>
      <c r="Q18" s="4">
        <v>75</v>
      </c>
      <c r="R18" s="4" t="s">
        <v>55</v>
      </c>
      <c r="S18" s="4" t="s">
        <v>56</v>
      </c>
    </row>
    <row r="19" spans="1:19" x14ac:dyDescent="0.2">
      <c r="A19" s="4" t="s">
        <v>92</v>
      </c>
      <c r="B19" s="9">
        <v>46279</v>
      </c>
      <c r="C19" s="4" t="s">
        <v>93</v>
      </c>
      <c r="D19" s="4" t="s">
        <v>53</v>
      </c>
      <c r="E19" s="4">
        <v>3</v>
      </c>
      <c r="F19" s="4">
        <v>1283629</v>
      </c>
      <c r="G19" s="4">
        <v>25000</v>
      </c>
      <c r="H19" s="4">
        <v>30000</v>
      </c>
      <c r="I19" s="4">
        <v>3905887</v>
      </c>
      <c r="J19" s="4">
        <v>2026914</v>
      </c>
      <c r="K19" s="4">
        <v>338967</v>
      </c>
      <c r="L19" s="4">
        <v>302052</v>
      </c>
      <c r="M19" s="4">
        <v>2667933</v>
      </c>
      <c r="N19" s="4">
        <v>1237954</v>
      </c>
      <c r="O19" s="4">
        <v>0.31694567712788407</v>
      </c>
      <c r="P19" s="4" t="s">
        <v>76</v>
      </c>
      <c r="Q19" s="4">
        <v>30</v>
      </c>
      <c r="R19" s="4" t="s">
        <v>55</v>
      </c>
      <c r="S19" s="4" t="s">
        <v>56</v>
      </c>
    </row>
    <row r="20" spans="1:19" x14ac:dyDescent="0.2">
      <c r="A20" s="4" t="s">
        <v>94</v>
      </c>
      <c r="B20" s="9">
        <v>46212</v>
      </c>
      <c r="C20" s="4" t="s">
        <v>52</v>
      </c>
      <c r="D20" s="4" t="s">
        <v>63</v>
      </c>
      <c r="E20" s="4">
        <v>2</v>
      </c>
      <c r="F20" s="4">
        <v>1889852</v>
      </c>
      <c r="G20" s="4">
        <v>100000</v>
      </c>
      <c r="H20" s="4">
        <v>30000</v>
      </c>
      <c r="I20" s="4">
        <v>3909704</v>
      </c>
      <c r="J20" s="4">
        <v>1856394</v>
      </c>
      <c r="K20" s="4">
        <v>386692</v>
      </c>
      <c r="L20" s="4">
        <v>275784</v>
      </c>
      <c r="M20" s="4">
        <v>2518870</v>
      </c>
      <c r="N20" s="4">
        <v>1390834</v>
      </c>
      <c r="O20" s="4">
        <v>0.35573895108171871</v>
      </c>
      <c r="P20" s="4" t="s">
        <v>67</v>
      </c>
      <c r="Q20" s="4">
        <v>45</v>
      </c>
      <c r="R20" s="4" t="s">
        <v>68</v>
      </c>
      <c r="S20" s="4" t="s">
        <v>87</v>
      </c>
    </row>
    <row r="21" spans="1:19" x14ac:dyDescent="0.2">
      <c r="A21" s="4" t="s">
        <v>95</v>
      </c>
      <c r="B21" s="9">
        <v>46251</v>
      </c>
      <c r="C21" s="4" t="s">
        <v>58</v>
      </c>
      <c r="D21" s="4" t="s">
        <v>53</v>
      </c>
      <c r="E21" s="4">
        <v>1</v>
      </c>
      <c r="F21" s="4">
        <v>1137603</v>
      </c>
      <c r="G21" s="4">
        <v>25000</v>
      </c>
      <c r="H21" s="4">
        <v>0</v>
      </c>
      <c r="I21" s="4">
        <v>1162603</v>
      </c>
      <c r="J21" s="4">
        <v>642838</v>
      </c>
      <c r="K21" s="4">
        <v>123085</v>
      </c>
      <c r="L21" s="4">
        <v>108759</v>
      </c>
      <c r="M21" s="4">
        <v>874682</v>
      </c>
      <c r="N21" s="4">
        <v>287921</v>
      </c>
      <c r="O21" s="4">
        <v>0.24765203599164981</v>
      </c>
      <c r="P21" s="4" t="s">
        <v>76</v>
      </c>
      <c r="Q21" s="4">
        <v>15</v>
      </c>
      <c r="R21" s="4" t="s">
        <v>55</v>
      </c>
      <c r="S21" s="4" t="s">
        <v>56</v>
      </c>
    </row>
    <row r="22" spans="1:19" x14ac:dyDescent="0.2">
      <c r="A22" s="4" t="s">
        <v>96</v>
      </c>
      <c r="B22" s="9">
        <v>46265</v>
      </c>
      <c r="C22" s="4" t="s">
        <v>71</v>
      </c>
      <c r="D22" s="4" t="s">
        <v>53</v>
      </c>
      <c r="E22" s="4">
        <v>1</v>
      </c>
      <c r="F22" s="4">
        <v>1167514</v>
      </c>
      <c r="G22" s="4">
        <v>100000</v>
      </c>
      <c r="H22" s="4">
        <v>0</v>
      </c>
      <c r="I22" s="4">
        <v>1267514</v>
      </c>
      <c r="J22" s="4">
        <v>585265</v>
      </c>
      <c r="K22" s="4">
        <v>134708</v>
      </c>
      <c r="L22" s="4">
        <v>95416</v>
      </c>
      <c r="M22" s="4">
        <v>815389</v>
      </c>
      <c r="N22" s="4">
        <v>452125</v>
      </c>
      <c r="O22" s="4">
        <v>0.35670217449274721</v>
      </c>
      <c r="P22" s="4" t="s">
        <v>54</v>
      </c>
      <c r="Q22" s="4">
        <v>60</v>
      </c>
      <c r="R22" s="4" t="s">
        <v>55</v>
      </c>
      <c r="S22" s="4" t="s">
        <v>87</v>
      </c>
    </row>
    <row r="23" spans="1:19" x14ac:dyDescent="0.2">
      <c r="A23" s="4" t="s">
        <v>97</v>
      </c>
      <c r="B23" s="9">
        <v>46257</v>
      </c>
      <c r="C23" s="4" t="s">
        <v>98</v>
      </c>
      <c r="D23" s="4" t="s">
        <v>63</v>
      </c>
      <c r="E23" s="4">
        <v>2</v>
      </c>
      <c r="F23" s="4">
        <v>1743473</v>
      </c>
      <c r="G23" s="4">
        <v>50000</v>
      </c>
      <c r="H23" s="4">
        <v>30000</v>
      </c>
      <c r="I23" s="4">
        <v>3566946</v>
      </c>
      <c r="J23" s="4">
        <v>2020152</v>
      </c>
      <c r="K23" s="4">
        <v>345480</v>
      </c>
      <c r="L23" s="4">
        <v>256638</v>
      </c>
      <c r="M23" s="4">
        <v>2622270</v>
      </c>
      <c r="N23" s="4">
        <v>944676</v>
      </c>
      <c r="O23" s="4">
        <v>0.26484168809956748</v>
      </c>
      <c r="P23" s="4" t="s">
        <v>67</v>
      </c>
      <c r="Q23" s="4">
        <v>15</v>
      </c>
      <c r="R23" s="4" t="s">
        <v>68</v>
      </c>
      <c r="S23" s="4" t="s">
        <v>87</v>
      </c>
    </row>
    <row r="24" spans="1:19" x14ac:dyDescent="0.2">
      <c r="A24" s="4" t="s">
        <v>99</v>
      </c>
      <c r="B24" s="9">
        <v>46138</v>
      </c>
      <c r="C24" s="4" t="s">
        <v>62</v>
      </c>
      <c r="D24" s="4" t="s">
        <v>53</v>
      </c>
      <c r="E24" s="4">
        <v>1</v>
      </c>
      <c r="F24" s="4">
        <v>1212988</v>
      </c>
      <c r="G24" s="4">
        <v>25000</v>
      </c>
      <c r="H24" s="4">
        <v>15000</v>
      </c>
      <c r="I24" s="4">
        <v>1252988</v>
      </c>
      <c r="J24" s="4">
        <v>586824</v>
      </c>
      <c r="K24" s="4">
        <v>118470</v>
      </c>
      <c r="L24" s="4">
        <v>91513</v>
      </c>
      <c r="M24" s="4">
        <v>796807</v>
      </c>
      <c r="N24" s="4">
        <v>456181</v>
      </c>
      <c r="O24" s="4">
        <v>0.36407451627629323</v>
      </c>
      <c r="P24" s="4" t="s">
        <v>67</v>
      </c>
      <c r="Q24" s="4">
        <v>60</v>
      </c>
      <c r="R24" s="4" t="s">
        <v>55</v>
      </c>
      <c r="S24" s="4" t="s">
        <v>69</v>
      </c>
    </row>
    <row r="25" spans="1:19" x14ac:dyDescent="0.2">
      <c r="A25" s="4" t="s">
        <v>100</v>
      </c>
      <c r="B25" s="9">
        <v>46269</v>
      </c>
      <c r="C25" s="4" t="s">
        <v>101</v>
      </c>
      <c r="D25" s="4" t="s">
        <v>53</v>
      </c>
      <c r="E25" s="4">
        <v>1</v>
      </c>
      <c r="F25" s="4">
        <v>1221173</v>
      </c>
      <c r="G25" s="4">
        <v>50000</v>
      </c>
      <c r="H25" s="4">
        <v>0</v>
      </c>
      <c r="I25" s="4">
        <v>1271173</v>
      </c>
      <c r="J25" s="4">
        <v>685937</v>
      </c>
      <c r="K25" s="4">
        <v>111107</v>
      </c>
      <c r="L25" s="4">
        <v>109318</v>
      </c>
      <c r="M25" s="4">
        <v>906362</v>
      </c>
      <c r="N25" s="4">
        <v>364811</v>
      </c>
      <c r="O25" s="4">
        <v>0.28698768774981848</v>
      </c>
      <c r="P25" s="4" t="s">
        <v>76</v>
      </c>
      <c r="Q25" s="4">
        <v>90</v>
      </c>
      <c r="R25" s="4" t="s">
        <v>55</v>
      </c>
      <c r="S25" s="4" t="s">
        <v>77</v>
      </c>
    </row>
    <row r="26" spans="1:19" x14ac:dyDescent="0.2">
      <c r="A26" s="4" t="s">
        <v>102</v>
      </c>
      <c r="B26" s="9">
        <v>46182</v>
      </c>
      <c r="C26" s="4" t="s">
        <v>79</v>
      </c>
      <c r="D26" s="4" t="s">
        <v>63</v>
      </c>
      <c r="E26" s="4">
        <v>1</v>
      </c>
      <c r="F26" s="4">
        <v>1872838</v>
      </c>
      <c r="G26" s="4">
        <v>75000</v>
      </c>
      <c r="H26" s="4">
        <v>15000</v>
      </c>
      <c r="I26" s="4">
        <v>1962838</v>
      </c>
      <c r="J26" s="4">
        <v>912683</v>
      </c>
      <c r="K26" s="4">
        <v>190540</v>
      </c>
      <c r="L26" s="4">
        <v>124549</v>
      </c>
      <c r="M26" s="4">
        <v>1227772</v>
      </c>
      <c r="N26" s="4">
        <v>735066</v>
      </c>
      <c r="O26" s="4">
        <v>0.37449142517110429</v>
      </c>
      <c r="P26" s="4" t="s">
        <v>76</v>
      </c>
      <c r="Q26" s="4">
        <v>15</v>
      </c>
      <c r="R26" s="4" t="s">
        <v>55</v>
      </c>
      <c r="S26" s="4" t="s">
        <v>60</v>
      </c>
    </row>
    <row r="27" spans="1:19" x14ac:dyDescent="0.2">
      <c r="A27" s="4" t="s">
        <v>103</v>
      </c>
      <c r="B27" s="9">
        <v>46221</v>
      </c>
      <c r="C27" s="4" t="s">
        <v>52</v>
      </c>
      <c r="D27" s="4" t="s">
        <v>63</v>
      </c>
      <c r="E27" s="4">
        <v>1</v>
      </c>
      <c r="F27" s="4">
        <v>1776056</v>
      </c>
      <c r="G27" s="4">
        <v>75000</v>
      </c>
      <c r="H27" s="4">
        <v>50000</v>
      </c>
      <c r="I27" s="4">
        <v>1901056</v>
      </c>
      <c r="J27" s="4">
        <v>898855</v>
      </c>
      <c r="K27" s="4">
        <v>206090</v>
      </c>
      <c r="L27" s="4">
        <v>121621</v>
      </c>
      <c r="M27" s="4">
        <v>1226566</v>
      </c>
      <c r="N27" s="4">
        <v>674490</v>
      </c>
      <c r="O27" s="4">
        <v>0.35479754410180447</v>
      </c>
      <c r="P27" s="4" t="s">
        <v>73</v>
      </c>
      <c r="Q27" s="4">
        <v>75</v>
      </c>
      <c r="R27" s="4" t="s">
        <v>55</v>
      </c>
      <c r="S27" s="4" t="s">
        <v>56</v>
      </c>
    </row>
    <row r="28" spans="1:19" x14ac:dyDescent="0.2">
      <c r="A28" s="4" t="s">
        <v>104</v>
      </c>
      <c r="B28" s="9">
        <v>46132</v>
      </c>
      <c r="C28" s="4" t="s">
        <v>83</v>
      </c>
      <c r="D28" s="4" t="s">
        <v>59</v>
      </c>
      <c r="E28" s="4">
        <v>1</v>
      </c>
      <c r="F28" s="4">
        <v>1479580</v>
      </c>
      <c r="G28" s="4">
        <v>50000</v>
      </c>
      <c r="H28" s="4">
        <v>15000</v>
      </c>
      <c r="I28" s="4">
        <v>1544580</v>
      </c>
      <c r="J28" s="4">
        <v>735916</v>
      </c>
      <c r="K28" s="4">
        <v>131183</v>
      </c>
      <c r="L28" s="4">
        <v>102084</v>
      </c>
      <c r="M28" s="4">
        <v>969183</v>
      </c>
      <c r="N28" s="4">
        <v>575397</v>
      </c>
      <c r="O28" s="4">
        <v>0.37252651206153131</v>
      </c>
      <c r="P28" s="4" t="s">
        <v>76</v>
      </c>
      <c r="Q28" s="4">
        <v>15</v>
      </c>
      <c r="R28" s="4" t="s">
        <v>55</v>
      </c>
      <c r="S28" s="4" t="s">
        <v>77</v>
      </c>
    </row>
    <row r="29" spans="1:19" x14ac:dyDescent="0.2">
      <c r="A29" s="4" t="s">
        <v>105</v>
      </c>
      <c r="B29" s="9">
        <v>46287</v>
      </c>
      <c r="C29" s="4" t="s">
        <v>93</v>
      </c>
      <c r="D29" s="4" t="s">
        <v>59</v>
      </c>
      <c r="E29" s="4">
        <v>1</v>
      </c>
      <c r="F29" s="4">
        <v>1385321</v>
      </c>
      <c r="G29" s="4">
        <v>25000</v>
      </c>
      <c r="H29" s="4">
        <v>0</v>
      </c>
      <c r="I29" s="4">
        <v>1410321</v>
      </c>
      <c r="J29" s="4">
        <v>732703</v>
      </c>
      <c r="K29" s="4">
        <v>156614</v>
      </c>
      <c r="L29" s="4">
        <v>122566</v>
      </c>
      <c r="M29" s="4">
        <v>1011883</v>
      </c>
      <c r="N29" s="4">
        <v>398438</v>
      </c>
      <c r="O29" s="4">
        <v>0.28251582441160561</v>
      </c>
      <c r="P29" s="4" t="s">
        <v>76</v>
      </c>
      <c r="Q29" s="4">
        <v>30</v>
      </c>
      <c r="R29" s="4" t="s">
        <v>55</v>
      </c>
      <c r="S29" s="4" t="s">
        <v>56</v>
      </c>
    </row>
    <row r="30" spans="1:19" x14ac:dyDescent="0.2">
      <c r="A30" s="4" t="s">
        <v>106</v>
      </c>
      <c r="B30" s="9">
        <v>46158</v>
      </c>
      <c r="C30" s="4" t="s">
        <v>66</v>
      </c>
      <c r="D30" s="4" t="s">
        <v>63</v>
      </c>
      <c r="E30" s="4">
        <v>2</v>
      </c>
      <c r="F30" s="4">
        <v>1795751</v>
      </c>
      <c r="G30" s="4">
        <v>25000</v>
      </c>
      <c r="H30" s="4">
        <v>0</v>
      </c>
      <c r="I30" s="4">
        <v>3616502</v>
      </c>
      <c r="J30" s="4">
        <v>2002564</v>
      </c>
      <c r="K30" s="4">
        <v>390154</v>
      </c>
      <c r="L30" s="4">
        <v>248194</v>
      </c>
      <c r="M30" s="4">
        <v>2640912</v>
      </c>
      <c r="N30" s="4">
        <v>975590</v>
      </c>
      <c r="O30" s="4">
        <v>0.2697606692876155</v>
      </c>
      <c r="P30" s="4" t="s">
        <v>67</v>
      </c>
      <c r="Q30" s="4">
        <v>15</v>
      </c>
      <c r="R30" s="4" t="s">
        <v>55</v>
      </c>
      <c r="S30" s="4" t="s">
        <v>77</v>
      </c>
    </row>
    <row r="31" spans="1:19" x14ac:dyDescent="0.2">
      <c r="A31" s="4" t="s">
        <v>107</v>
      </c>
      <c r="B31" s="9">
        <v>46230</v>
      </c>
      <c r="C31" s="4" t="s">
        <v>83</v>
      </c>
      <c r="D31" s="4" t="s">
        <v>63</v>
      </c>
      <c r="E31" s="4">
        <v>1</v>
      </c>
      <c r="F31" s="4">
        <v>1892427</v>
      </c>
      <c r="G31" s="4">
        <v>50000</v>
      </c>
      <c r="H31" s="4">
        <v>15000</v>
      </c>
      <c r="I31" s="4">
        <v>1957427</v>
      </c>
      <c r="J31" s="4">
        <v>917243</v>
      </c>
      <c r="K31" s="4">
        <v>163064</v>
      </c>
      <c r="L31" s="4">
        <v>122523</v>
      </c>
      <c r="M31" s="4">
        <v>1202830</v>
      </c>
      <c r="N31" s="4">
        <v>754597</v>
      </c>
      <c r="O31" s="4">
        <v>0.38550454244270671</v>
      </c>
      <c r="P31" s="4" t="s">
        <v>76</v>
      </c>
      <c r="Q31" s="4">
        <v>45</v>
      </c>
      <c r="R31" s="4" t="s">
        <v>55</v>
      </c>
      <c r="S31" s="4" t="s">
        <v>60</v>
      </c>
    </row>
    <row r="32" spans="1:19" x14ac:dyDescent="0.2">
      <c r="A32" s="4" t="s">
        <v>108</v>
      </c>
      <c r="B32" s="9">
        <v>46243</v>
      </c>
      <c r="C32" s="4" t="s">
        <v>52</v>
      </c>
      <c r="D32" s="4" t="s">
        <v>19</v>
      </c>
      <c r="E32" s="4">
        <v>1</v>
      </c>
      <c r="F32" s="4">
        <v>2962715</v>
      </c>
      <c r="G32" s="4">
        <v>50000</v>
      </c>
      <c r="H32" s="4">
        <v>0</v>
      </c>
      <c r="I32" s="4">
        <v>3012715</v>
      </c>
      <c r="J32" s="4">
        <v>1499069</v>
      </c>
      <c r="K32" s="4">
        <v>226725</v>
      </c>
      <c r="L32" s="4">
        <v>196730</v>
      </c>
      <c r="M32" s="4">
        <v>1922524</v>
      </c>
      <c r="N32" s="4">
        <v>1090191</v>
      </c>
      <c r="O32" s="4">
        <v>0.36186330270204781</v>
      </c>
      <c r="P32" s="4" t="s">
        <v>54</v>
      </c>
      <c r="Q32" s="4">
        <v>45</v>
      </c>
      <c r="R32" s="4" t="s">
        <v>55</v>
      </c>
      <c r="S32" s="4" t="s">
        <v>56</v>
      </c>
    </row>
    <row r="33" spans="1:19" x14ac:dyDescent="0.2">
      <c r="A33" s="4" t="s">
        <v>109</v>
      </c>
      <c r="B33" s="9">
        <v>46265</v>
      </c>
      <c r="C33" s="4" t="s">
        <v>101</v>
      </c>
      <c r="D33" s="4" t="s">
        <v>19</v>
      </c>
      <c r="E33" s="4">
        <v>1</v>
      </c>
      <c r="F33" s="4">
        <v>2940279</v>
      </c>
      <c r="G33" s="4">
        <v>100000</v>
      </c>
      <c r="H33" s="4">
        <v>0</v>
      </c>
      <c r="I33" s="4">
        <v>3040279</v>
      </c>
      <c r="J33" s="4">
        <v>1531063</v>
      </c>
      <c r="K33" s="4">
        <v>286514</v>
      </c>
      <c r="L33" s="4">
        <v>166579</v>
      </c>
      <c r="M33" s="4">
        <v>1984156</v>
      </c>
      <c r="N33" s="4">
        <v>1056123</v>
      </c>
      <c r="O33" s="4">
        <v>0.34737700059764248</v>
      </c>
      <c r="P33" s="4" t="s">
        <v>67</v>
      </c>
      <c r="Q33" s="4">
        <v>90</v>
      </c>
      <c r="R33" s="4" t="s">
        <v>68</v>
      </c>
      <c r="S33" s="4" t="s">
        <v>87</v>
      </c>
    </row>
    <row r="34" spans="1:19" x14ac:dyDescent="0.2">
      <c r="A34" s="4" t="s">
        <v>110</v>
      </c>
      <c r="B34" s="9">
        <v>46288</v>
      </c>
      <c r="C34" s="4" t="s">
        <v>93</v>
      </c>
      <c r="D34" s="4" t="s">
        <v>59</v>
      </c>
      <c r="E34" s="4">
        <v>1</v>
      </c>
      <c r="F34" s="4">
        <v>1329714</v>
      </c>
      <c r="G34" s="4">
        <v>0</v>
      </c>
      <c r="H34" s="4">
        <v>15000</v>
      </c>
      <c r="I34" s="4">
        <v>1344714</v>
      </c>
      <c r="J34" s="4">
        <v>747521</v>
      </c>
      <c r="K34" s="4">
        <v>137557</v>
      </c>
      <c r="L34" s="4">
        <v>106596</v>
      </c>
      <c r="M34" s="4">
        <v>991674</v>
      </c>
      <c r="N34" s="4">
        <v>353040</v>
      </c>
      <c r="O34" s="4">
        <v>0.26253909753300703</v>
      </c>
      <c r="P34" s="4" t="s">
        <v>54</v>
      </c>
      <c r="Q34" s="4">
        <v>90</v>
      </c>
      <c r="R34" s="4" t="s">
        <v>55</v>
      </c>
      <c r="S34" s="4" t="s">
        <v>69</v>
      </c>
    </row>
    <row r="35" spans="1:19" x14ac:dyDescent="0.2">
      <c r="A35" s="4" t="s">
        <v>111</v>
      </c>
      <c r="B35" s="9">
        <v>46216</v>
      </c>
      <c r="C35" s="4" t="s">
        <v>101</v>
      </c>
      <c r="D35" s="4" t="s">
        <v>63</v>
      </c>
      <c r="E35" s="4">
        <v>1</v>
      </c>
      <c r="F35" s="4">
        <v>1740343</v>
      </c>
      <c r="G35" s="4">
        <v>25000</v>
      </c>
      <c r="H35" s="4">
        <v>50000</v>
      </c>
      <c r="I35" s="4">
        <v>1815343</v>
      </c>
      <c r="J35" s="4">
        <v>1000336</v>
      </c>
      <c r="K35" s="4">
        <v>179061</v>
      </c>
      <c r="L35" s="4">
        <v>138396</v>
      </c>
      <c r="M35" s="4">
        <v>1317793</v>
      </c>
      <c r="N35" s="4">
        <v>497550</v>
      </c>
      <c r="O35" s="4">
        <v>0.27408043548794908</v>
      </c>
      <c r="P35" s="4" t="s">
        <v>54</v>
      </c>
      <c r="Q35" s="4">
        <v>60</v>
      </c>
      <c r="R35" s="4" t="s">
        <v>55</v>
      </c>
      <c r="S35" s="4" t="s">
        <v>56</v>
      </c>
    </row>
    <row r="36" spans="1:19" x14ac:dyDescent="0.2">
      <c r="A36" s="4" t="s">
        <v>112</v>
      </c>
      <c r="B36" s="9">
        <v>46190</v>
      </c>
      <c r="C36" s="4" t="s">
        <v>58</v>
      </c>
      <c r="D36" s="4" t="s">
        <v>63</v>
      </c>
      <c r="E36" s="4">
        <v>1</v>
      </c>
      <c r="F36" s="4">
        <v>1890011</v>
      </c>
      <c r="G36" s="4">
        <v>25000</v>
      </c>
      <c r="H36" s="4">
        <v>50000</v>
      </c>
      <c r="I36" s="4">
        <v>1965011</v>
      </c>
      <c r="J36" s="4">
        <v>989265</v>
      </c>
      <c r="K36" s="4">
        <v>176501</v>
      </c>
      <c r="L36" s="4">
        <v>129635</v>
      </c>
      <c r="M36" s="4">
        <v>1295401</v>
      </c>
      <c r="N36" s="4">
        <v>669610</v>
      </c>
      <c r="O36" s="4">
        <v>0.34076654023819708</v>
      </c>
      <c r="P36" s="4" t="s">
        <v>54</v>
      </c>
      <c r="Q36" s="4">
        <v>90</v>
      </c>
      <c r="R36" s="4" t="s">
        <v>55</v>
      </c>
      <c r="S36" s="4" t="s">
        <v>60</v>
      </c>
    </row>
    <row r="37" spans="1:19" x14ac:dyDescent="0.2">
      <c r="A37" s="4" t="s">
        <v>113</v>
      </c>
      <c r="B37" s="9">
        <v>46134</v>
      </c>
      <c r="C37" s="4" t="s">
        <v>52</v>
      </c>
      <c r="D37" s="4" t="s">
        <v>63</v>
      </c>
      <c r="E37" s="4">
        <v>1</v>
      </c>
      <c r="F37" s="4">
        <v>1851501</v>
      </c>
      <c r="G37" s="4">
        <v>50000</v>
      </c>
      <c r="H37" s="4">
        <v>0</v>
      </c>
      <c r="I37" s="4">
        <v>1901501</v>
      </c>
      <c r="J37" s="4">
        <v>937685</v>
      </c>
      <c r="K37" s="4">
        <v>198829</v>
      </c>
      <c r="L37" s="4">
        <v>138482</v>
      </c>
      <c r="M37" s="4">
        <v>1274996</v>
      </c>
      <c r="N37" s="4">
        <v>626505</v>
      </c>
      <c r="O37" s="4">
        <v>0.32947918512795937</v>
      </c>
      <c r="P37" s="4" t="s">
        <v>89</v>
      </c>
      <c r="Q37" s="4">
        <v>30</v>
      </c>
      <c r="R37" s="4" t="s">
        <v>55</v>
      </c>
      <c r="S37" s="4" t="s">
        <v>56</v>
      </c>
    </row>
    <row r="38" spans="1:19" x14ac:dyDescent="0.2">
      <c r="A38" s="4" t="s">
        <v>114</v>
      </c>
      <c r="B38" s="9">
        <v>46175</v>
      </c>
      <c r="C38" s="4" t="s">
        <v>52</v>
      </c>
      <c r="D38" s="4" t="s">
        <v>19</v>
      </c>
      <c r="E38" s="4">
        <v>1</v>
      </c>
      <c r="F38" s="4">
        <v>2933247</v>
      </c>
      <c r="G38" s="4">
        <v>75000</v>
      </c>
      <c r="H38" s="4">
        <v>30000</v>
      </c>
      <c r="I38" s="4">
        <v>3038247</v>
      </c>
      <c r="J38" s="4">
        <v>1536846</v>
      </c>
      <c r="K38" s="4">
        <v>280383</v>
      </c>
      <c r="L38" s="4">
        <v>184796</v>
      </c>
      <c r="M38" s="4">
        <v>2002025</v>
      </c>
      <c r="N38" s="4">
        <v>1036222</v>
      </c>
      <c r="O38" s="4">
        <v>0.34105916997531799</v>
      </c>
      <c r="P38" s="4" t="s">
        <v>67</v>
      </c>
      <c r="Q38" s="4">
        <v>30</v>
      </c>
      <c r="R38" s="4" t="s">
        <v>68</v>
      </c>
      <c r="S38" s="4" t="s">
        <v>56</v>
      </c>
    </row>
    <row r="39" spans="1:19" x14ac:dyDescent="0.2">
      <c r="A39" s="4" t="s">
        <v>115</v>
      </c>
      <c r="B39" s="9">
        <v>46221</v>
      </c>
      <c r="C39" s="4" t="s">
        <v>101</v>
      </c>
      <c r="D39" s="4" t="s">
        <v>59</v>
      </c>
      <c r="E39" s="4">
        <v>1</v>
      </c>
      <c r="F39" s="4">
        <v>1503761</v>
      </c>
      <c r="G39" s="4">
        <v>0</v>
      </c>
      <c r="H39" s="4">
        <v>30000</v>
      </c>
      <c r="I39" s="4">
        <v>1533761</v>
      </c>
      <c r="J39" s="4">
        <v>726750</v>
      </c>
      <c r="K39" s="4">
        <v>127757</v>
      </c>
      <c r="L39" s="4">
        <v>105030</v>
      </c>
      <c r="M39" s="4">
        <v>959537</v>
      </c>
      <c r="N39" s="4">
        <v>574224</v>
      </c>
      <c r="O39" s="4">
        <v>0.3743894909311164</v>
      </c>
      <c r="P39" s="4" t="s">
        <v>67</v>
      </c>
      <c r="Q39" s="4">
        <v>60</v>
      </c>
      <c r="R39" s="4" t="s">
        <v>68</v>
      </c>
      <c r="S39" s="4" t="s">
        <v>87</v>
      </c>
    </row>
    <row r="40" spans="1:19" x14ac:dyDescent="0.2">
      <c r="A40" s="4" t="s">
        <v>116</v>
      </c>
      <c r="B40" s="9">
        <v>46194</v>
      </c>
      <c r="C40" s="4" t="s">
        <v>117</v>
      </c>
      <c r="D40" s="4" t="s">
        <v>19</v>
      </c>
      <c r="E40" s="4">
        <v>1</v>
      </c>
      <c r="F40" s="4">
        <v>2913955</v>
      </c>
      <c r="G40" s="4">
        <v>25000</v>
      </c>
      <c r="H40" s="4">
        <v>30000</v>
      </c>
      <c r="I40" s="4">
        <v>2968955</v>
      </c>
      <c r="J40" s="4">
        <v>1551852</v>
      </c>
      <c r="K40" s="4">
        <v>276910</v>
      </c>
      <c r="L40" s="4">
        <v>183695</v>
      </c>
      <c r="M40" s="4">
        <v>2012457</v>
      </c>
      <c r="N40" s="4">
        <v>956498</v>
      </c>
      <c r="O40" s="4">
        <v>0.32216655355167062</v>
      </c>
      <c r="P40" s="4" t="s">
        <v>67</v>
      </c>
      <c r="Q40" s="4">
        <v>30</v>
      </c>
      <c r="R40" s="4" t="s">
        <v>55</v>
      </c>
      <c r="S40" s="4" t="s">
        <v>87</v>
      </c>
    </row>
    <row r="41" spans="1:19" x14ac:dyDescent="0.2">
      <c r="A41" s="4" t="s">
        <v>118</v>
      </c>
      <c r="B41" s="9">
        <v>46237</v>
      </c>
      <c r="C41" s="4" t="s">
        <v>58</v>
      </c>
      <c r="D41" s="4" t="s">
        <v>59</v>
      </c>
      <c r="E41" s="4">
        <v>1</v>
      </c>
      <c r="F41" s="4">
        <v>1331186</v>
      </c>
      <c r="G41" s="4">
        <v>100000</v>
      </c>
      <c r="H41" s="4">
        <v>0</v>
      </c>
      <c r="I41" s="4">
        <v>1431186</v>
      </c>
      <c r="J41" s="4">
        <v>693773</v>
      </c>
      <c r="K41" s="4">
        <v>135510</v>
      </c>
      <c r="L41" s="4">
        <v>106736</v>
      </c>
      <c r="M41" s="4">
        <v>936019</v>
      </c>
      <c r="N41" s="4">
        <v>495167</v>
      </c>
      <c r="O41" s="4">
        <v>0.34598368066764212</v>
      </c>
      <c r="P41" s="4" t="s">
        <v>67</v>
      </c>
      <c r="Q41" s="4">
        <v>30</v>
      </c>
      <c r="R41" s="4" t="s">
        <v>68</v>
      </c>
      <c r="S41" s="4" t="s">
        <v>60</v>
      </c>
    </row>
    <row r="42" spans="1:19" x14ac:dyDescent="0.2">
      <c r="A42" s="4" t="s">
        <v>119</v>
      </c>
      <c r="B42" s="9">
        <v>46167</v>
      </c>
      <c r="C42" s="4" t="s">
        <v>98</v>
      </c>
      <c r="D42" s="4" t="s">
        <v>53</v>
      </c>
      <c r="E42" s="4">
        <v>1</v>
      </c>
      <c r="F42" s="4">
        <v>1183588</v>
      </c>
      <c r="G42" s="4">
        <v>75000</v>
      </c>
      <c r="H42" s="4">
        <v>50000</v>
      </c>
      <c r="I42" s="4">
        <v>1308588</v>
      </c>
      <c r="J42" s="4">
        <v>628174</v>
      </c>
      <c r="K42" s="4">
        <v>109867</v>
      </c>
      <c r="L42" s="4">
        <v>108323</v>
      </c>
      <c r="M42" s="4">
        <v>846364</v>
      </c>
      <c r="N42" s="4">
        <v>462224</v>
      </c>
      <c r="O42" s="4">
        <v>0.35322347446255048</v>
      </c>
      <c r="P42" s="4" t="s">
        <v>76</v>
      </c>
      <c r="Q42" s="4">
        <v>15</v>
      </c>
      <c r="R42" s="4" t="s">
        <v>55</v>
      </c>
      <c r="S42" s="4" t="s">
        <v>64</v>
      </c>
    </row>
    <row r="43" spans="1:19" x14ac:dyDescent="0.2">
      <c r="A43" s="4" t="s">
        <v>120</v>
      </c>
      <c r="B43" s="9">
        <v>46235</v>
      </c>
      <c r="C43" s="4" t="s">
        <v>75</v>
      </c>
      <c r="D43" s="4" t="s">
        <v>53</v>
      </c>
      <c r="E43" s="4">
        <v>2</v>
      </c>
      <c r="F43" s="4">
        <v>1178166</v>
      </c>
      <c r="G43" s="4">
        <v>100000</v>
      </c>
      <c r="H43" s="4">
        <v>50000</v>
      </c>
      <c r="I43" s="4">
        <v>2506332</v>
      </c>
      <c r="J43" s="4">
        <v>1237516</v>
      </c>
      <c r="K43" s="4">
        <v>269498</v>
      </c>
      <c r="L43" s="4">
        <v>216772</v>
      </c>
      <c r="M43" s="4">
        <v>1723786</v>
      </c>
      <c r="N43" s="4">
        <v>782546</v>
      </c>
      <c r="O43" s="4">
        <v>0.31222758996014888</v>
      </c>
      <c r="P43" s="4" t="s">
        <v>89</v>
      </c>
      <c r="Q43" s="4">
        <v>30</v>
      </c>
      <c r="R43" s="4" t="s">
        <v>55</v>
      </c>
      <c r="S43" s="4" t="s">
        <v>77</v>
      </c>
    </row>
    <row r="44" spans="1:19" x14ac:dyDescent="0.2">
      <c r="A44" s="4" t="s">
        <v>121</v>
      </c>
      <c r="B44" s="9">
        <v>46182</v>
      </c>
      <c r="C44" s="4" t="s">
        <v>52</v>
      </c>
      <c r="D44" s="4" t="s">
        <v>19</v>
      </c>
      <c r="E44" s="4">
        <v>1</v>
      </c>
      <c r="F44" s="4">
        <v>2784432</v>
      </c>
      <c r="G44" s="4">
        <v>75000</v>
      </c>
      <c r="H44" s="4">
        <v>0</v>
      </c>
      <c r="I44" s="4">
        <v>2859432</v>
      </c>
      <c r="J44" s="4">
        <v>1601737</v>
      </c>
      <c r="K44" s="4">
        <v>274883</v>
      </c>
      <c r="L44" s="4">
        <v>190677</v>
      </c>
      <c r="M44" s="4">
        <v>2067297</v>
      </c>
      <c r="N44" s="4">
        <v>792135</v>
      </c>
      <c r="O44" s="4">
        <v>0.27702529733177778</v>
      </c>
      <c r="P44" s="4" t="s">
        <v>76</v>
      </c>
      <c r="Q44" s="4">
        <v>75</v>
      </c>
      <c r="R44" s="4" t="s">
        <v>55</v>
      </c>
      <c r="S44" s="4" t="s">
        <v>64</v>
      </c>
    </row>
    <row r="45" spans="1:19" x14ac:dyDescent="0.2">
      <c r="A45" s="4" t="s">
        <v>122</v>
      </c>
      <c r="B45" s="9">
        <v>46264</v>
      </c>
      <c r="C45" s="4" t="s">
        <v>93</v>
      </c>
      <c r="D45" s="4" t="s">
        <v>53</v>
      </c>
      <c r="E45" s="4">
        <v>1</v>
      </c>
      <c r="F45" s="4">
        <v>1200006</v>
      </c>
      <c r="G45" s="4">
        <v>50000</v>
      </c>
      <c r="H45" s="4">
        <v>0</v>
      </c>
      <c r="I45" s="4">
        <v>1250006</v>
      </c>
      <c r="J45" s="4">
        <v>677889</v>
      </c>
      <c r="K45" s="4">
        <v>113451</v>
      </c>
      <c r="L45" s="4">
        <v>95723</v>
      </c>
      <c r="M45" s="4">
        <v>887063</v>
      </c>
      <c r="N45" s="4">
        <v>362943</v>
      </c>
      <c r="O45" s="4">
        <v>0.29035300630556982</v>
      </c>
      <c r="P45" s="4" t="s">
        <v>67</v>
      </c>
      <c r="Q45" s="4">
        <v>45</v>
      </c>
      <c r="R45" s="4" t="s">
        <v>55</v>
      </c>
      <c r="S45" s="4" t="s">
        <v>69</v>
      </c>
    </row>
    <row r="46" spans="1:19" x14ac:dyDescent="0.2">
      <c r="A46" s="4" t="s">
        <v>123</v>
      </c>
      <c r="B46" s="9">
        <v>46220</v>
      </c>
      <c r="C46" s="4" t="s">
        <v>52</v>
      </c>
      <c r="D46" s="4" t="s">
        <v>63</v>
      </c>
      <c r="E46" s="4">
        <v>2</v>
      </c>
      <c r="F46" s="4">
        <v>1810517</v>
      </c>
      <c r="G46" s="4">
        <v>25000</v>
      </c>
      <c r="H46" s="4">
        <v>0</v>
      </c>
      <c r="I46" s="4">
        <v>3646034</v>
      </c>
      <c r="J46" s="4">
        <v>2032628</v>
      </c>
      <c r="K46" s="4">
        <v>328686</v>
      </c>
      <c r="L46" s="4">
        <v>288448</v>
      </c>
      <c r="M46" s="4">
        <v>2649762</v>
      </c>
      <c r="N46" s="4">
        <v>996272</v>
      </c>
      <c r="O46" s="4">
        <v>0.27324813756536548</v>
      </c>
      <c r="P46" s="4" t="s">
        <v>89</v>
      </c>
      <c r="Q46" s="4">
        <v>90</v>
      </c>
      <c r="R46" s="4" t="s">
        <v>55</v>
      </c>
      <c r="S46" s="4" t="s">
        <v>56</v>
      </c>
    </row>
    <row r="47" spans="1:19" x14ac:dyDescent="0.2">
      <c r="A47" s="4" t="s">
        <v>124</v>
      </c>
      <c r="B47" s="9">
        <v>46176</v>
      </c>
      <c r="C47" s="4" t="s">
        <v>58</v>
      </c>
      <c r="D47" s="4" t="s">
        <v>59</v>
      </c>
      <c r="E47" s="4">
        <v>2</v>
      </c>
      <c r="F47" s="4">
        <v>1437781</v>
      </c>
      <c r="G47" s="4">
        <v>25000</v>
      </c>
      <c r="H47" s="4">
        <v>30000</v>
      </c>
      <c r="I47" s="4">
        <v>2930562</v>
      </c>
      <c r="J47" s="4">
        <v>1374146</v>
      </c>
      <c r="K47" s="4">
        <v>285148</v>
      </c>
      <c r="L47" s="4">
        <v>203536</v>
      </c>
      <c r="M47" s="4">
        <v>1862830</v>
      </c>
      <c r="N47" s="4">
        <v>1067732</v>
      </c>
      <c r="O47" s="4">
        <v>0.36434376750944009</v>
      </c>
      <c r="P47" s="4" t="s">
        <v>73</v>
      </c>
      <c r="Q47" s="4">
        <v>45</v>
      </c>
      <c r="R47" s="4" t="s">
        <v>55</v>
      </c>
      <c r="S47" s="4" t="s">
        <v>87</v>
      </c>
    </row>
    <row r="48" spans="1:19" x14ac:dyDescent="0.2">
      <c r="A48" s="4" t="s">
        <v>125</v>
      </c>
      <c r="B48" s="9">
        <v>46268</v>
      </c>
      <c r="C48" s="4" t="s">
        <v>98</v>
      </c>
      <c r="D48" s="4" t="s">
        <v>53</v>
      </c>
      <c r="E48" s="4">
        <v>1</v>
      </c>
      <c r="F48" s="4">
        <v>1155512</v>
      </c>
      <c r="G48" s="4">
        <v>100000</v>
      </c>
      <c r="H48" s="4">
        <v>30000</v>
      </c>
      <c r="I48" s="4">
        <v>1285512</v>
      </c>
      <c r="J48" s="4">
        <v>608968</v>
      </c>
      <c r="K48" s="4">
        <v>125360</v>
      </c>
      <c r="L48" s="4">
        <v>110435</v>
      </c>
      <c r="M48" s="4">
        <v>844763</v>
      </c>
      <c r="N48" s="4">
        <v>440749</v>
      </c>
      <c r="O48" s="4">
        <v>0.34285872088319669</v>
      </c>
      <c r="P48" s="4" t="s">
        <v>67</v>
      </c>
      <c r="Q48" s="4">
        <v>90</v>
      </c>
      <c r="R48" s="4" t="s">
        <v>68</v>
      </c>
      <c r="S48" s="4" t="s">
        <v>60</v>
      </c>
    </row>
    <row r="49" spans="1:19" x14ac:dyDescent="0.2">
      <c r="A49" s="4" t="s">
        <v>126</v>
      </c>
      <c r="B49" s="9">
        <v>46273</v>
      </c>
      <c r="C49" s="4" t="s">
        <v>79</v>
      </c>
      <c r="D49" s="4" t="s">
        <v>59</v>
      </c>
      <c r="E49" s="4">
        <v>1</v>
      </c>
      <c r="F49" s="4">
        <v>1467406</v>
      </c>
      <c r="G49" s="4">
        <v>100000</v>
      </c>
      <c r="H49" s="4">
        <v>0</v>
      </c>
      <c r="I49" s="4">
        <v>1567406</v>
      </c>
      <c r="J49" s="4">
        <v>773941</v>
      </c>
      <c r="K49" s="4">
        <v>147014</v>
      </c>
      <c r="L49" s="4">
        <v>101929</v>
      </c>
      <c r="M49" s="4">
        <v>1022884</v>
      </c>
      <c r="N49" s="4">
        <v>544522</v>
      </c>
      <c r="O49" s="4">
        <v>0.34740328925626163</v>
      </c>
      <c r="P49" s="4" t="s">
        <v>67</v>
      </c>
      <c r="Q49" s="4">
        <v>60</v>
      </c>
      <c r="R49" s="4" t="s">
        <v>68</v>
      </c>
      <c r="S49" s="4" t="s">
        <v>87</v>
      </c>
    </row>
    <row r="50" spans="1:19" x14ac:dyDescent="0.2">
      <c r="A50" s="4" t="s">
        <v>127</v>
      </c>
      <c r="B50" s="9">
        <v>46278</v>
      </c>
      <c r="C50" s="4" t="s">
        <v>71</v>
      </c>
      <c r="D50" s="4" t="s">
        <v>63</v>
      </c>
      <c r="E50" s="4">
        <v>1</v>
      </c>
      <c r="F50" s="4">
        <v>1797854</v>
      </c>
      <c r="G50" s="4">
        <v>75000</v>
      </c>
      <c r="H50" s="4">
        <v>0</v>
      </c>
      <c r="I50" s="4">
        <v>1872854</v>
      </c>
      <c r="J50" s="4">
        <v>967138</v>
      </c>
      <c r="K50" s="4">
        <v>181508</v>
      </c>
      <c r="L50" s="4">
        <v>127358</v>
      </c>
      <c r="M50" s="4">
        <v>1276004</v>
      </c>
      <c r="N50" s="4">
        <v>596850</v>
      </c>
      <c r="O50" s="4">
        <v>0.3186847453138365</v>
      </c>
      <c r="P50" s="4" t="s">
        <v>67</v>
      </c>
      <c r="Q50" s="4">
        <v>90</v>
      </c>
      <c r="R50" s="4" t="s">
        <v>68</v>
      </c>
      <c r="S50" s="4" t="s">
        <v>69</v>
      </c>
    </row>
    <row r="51" spans="1:19" x14ac:dyDescent="0.2">
      <c r="A51" s="4" t="s">
        <v>128</v>
      </c>
      <c r="B51" s="9">
        <v>46270</v>
      </c>
      <c r="C51" s="4" t="s">
        <v>75</v>
      </c>
      <c r="D51" s="4" t="s">
        <v>19</v>
      </c>
      <c r="E51" s="4">
        <v>1</v>
      </c>
      <c r="F51" s="4">
        <v>2955687</v>
      </c>
      <c r="G51" s="4">
        <v>0</v>
      </c>
      <c r="H51" s="4">
        <v>15000</v>
      </c>
      <c r="I51" s="4">
        <v>2970687</v>
      </c>
      <c r="J51" s="4">
        <v>1578512</v>
      </c>
      <c r="K51" s="4">
        <v>245144</v>
      </c>
      <c r="L51" s="4">
        <v>171721</v>
      </c>
      <c r="M51" s="4">
        <v>1995377</v>
      </c>
      <c r="N51" s="4">
        <v>975310</v>
      </c>
      <c r="O51" s="4">
        <v>0.32831126268098931</v>
      </c>
      <c r="P51" s="4" t="s">
        <v>76</v>
      </c>
      <c r="Q51" s="4">
        <v>30</v>
      </c>
      <c r="R51" s="4" t="s">
        <v>55</v>
      </c>
      <c r="S51" s="4" t="s">
        <v>87</v>
      </c>
    </row>
    <row r="52" spans="1:19" x14ac:dyDescent="0.2">
      <c r="A52" s="4" t="s">
        <v>129</v>
      </c>
      <c r="B52" s="9">
        <v>46269</v>
      </c>
      <c r="C52" s="4" t="s">
        <v>117</v>
      </c>
      <c r="D52" s="4" t="s">
        <v>19</v>
      </c>
      <c r="E52" s="4">
        <v>1</v>
      </c>
      <c r="F52" s="4">
        <v>2825768</v>
      </c>
      <c r="G52" s="4">
        <v>50000</v>
      </c>
      <c r="H52" s="4">
        <v>15000</v>
      </c>
      <c r="I52" s="4">
        <v>2890768</v>
      </c>
      <c r="J52" s="4">
        <v>1497204</v>
      </c>
      <c r="K52" s="4">
        <v>255471</v>
      </c>
      <c r="L52" s="4">
        <v>176051</v>
      </c>
      <c r="M52" s="4">
        <v>1928726</v>
      </c>
      <c r="N52" s="4">
        <v>962042</v>
      </c>
      <c r="O52" s="4">
        <v>0.3327980661194534</v>
      </c>
      <c r="P52" s="4" t="s">
        <v>67</v>
      </c>
      <c r="Q52" s="4">
        <v>75</v>
      </c>
      <c r="R52" s="4" t="s">
        <v>68</v>
      </c>
      <c r="S52" s="4" t="s">
        <v>87</v>
      </c>
    </row>
    <row r="53" spans="1:19" x14ac:dyDescent="0.2">
      <c r="A53" s="4" t="s">
        <v>130</v>
      </c>
      <c r="B53" s="9">
        <v>46115</v>
      </c>
      <c r="C53" s="4" t="s">
        <v>117</v>
      </c>
      <c r="D53" s="4" t="s">
        <v>59</v>
      </c>
      <c r="E53" s="4">
        <v>1</v>
      </c>
      <c r="F53" s="4">
        <v>1457134</v>
      </c>
      <c r="G53" s="4">
        <v>75000</v>
      </c>
      <c r="H53" s="4">
        <v>30000</v>
      </c>
      <c r="I53" s="4">
        <v>1562134</v>
      </c>
      <c r="J53" s="4">
        <v>722578</v>
      </c>
      <c r="K53" s="4">
        <v>152535</v>
      </c>
      <c r="L53" s="4">
        <v>115712</v>
      </c>
      <c r="M53" s="4">
        <v>990825</v>
      </c>
      <c r="N53" s="4">
        <v>571309</v>
      </c>
      <c r="O53" s="4">
        <v>0.3657234270555535</v>
      </c>
      <c r="P53" s="4" t="s">
        <v>89</v>
      </c>
      <c r="Q53" s="4">
        <v>15</v>
      </c>
      <c r="R53" s="4" t="s">
        <v>55</v>
      </c>
      <c r="S53" s="4" t="s">
        <v>77</v>
      </c>
    </row>
    <row r="54" spans="1:19" x14ac:dyDescent="0.2">
      <c r="A54" s="4" t="s">
        <v>131</v>
      </c>
      <c r="B54" s="9">
        <v>46216</v>
      </c>
      <c r="C54" s="4" t="s">
        <v>117</v>
      </c>
      <c r="D54" s="4" t="s">
        <v>59</v>
      </c>
      <c r="E54" s="4">
        <v>1</v>
      </c>
      <c r="F54" s="4">
        <v>1429984</v>
      </c>
      <c r="G54" s="4">
        <v>100000</v>
      </c>
      <c r="H54" s="4">
        <v>15000</v>
      </c>
      <c r="I54" s="4">
        <v>1544984</v>
      </c>
      <c r="J54" s="4">
        <v>720402</v>
      </c>
      <c r="K54" s="4">
        <v>144582</v>
      </c>
      <c r="L54" s="4">
        <v>109297</v>
      </c>
      <c r="M54" s="4">
        <v>974281</v>
      </c>
      <c r="N54" s="4">
        <v>570703</v>
      </c>
      <c r="O54" s="4">
        <v>0.36939088042335722</v>
      </c>
      <c r="P54" s="4" t="s">
        <v>67</v>
      </c>
      <c r="Q54" s="4">
        <v>60</v>
      </c>
      <c r="R54" s="4" t="s">
        <v>68</v>
      </c>
      <c r="S54" s="4" t="s">
        <v>77</v>
      </c>
    </row>
    <row r="55" spans="1:19" x14ac:dyDescent="0.2">
      <c r="A55" s="4" t="s">
        <v>132</v>
      </c>
      <c r="B55" s="9">
        <v>46143</v>
      </c>
      <c r="C55" s="4" t="s">
        <v>98</v>
      </c>
      <c r="D55" s="4" t="s">
        <v>59</v>
      </c>
      <c r="E55" s="4">
        <v>1</v>
      </c>
      <c r="F55" s="4">
        <v>1461604</v>
      </c>
      <c r="G55" s="4">
        <v>75000</v>
      </c>
      <c r="H55" s="4">
        <v>15000</v>
      </c>
      <c r="I55" s="4">
        <v>1551604</v>
      </c>
      <c r="J55" s="4">
        <v>788224</v>
      </c>
      <c r="K55" s="4">
        <v>150155</v>
      </c>
      <c r="L55" s="4">
        <v>103635</v>
      </c>
      <c r="M55" s="4">
        <v>1042014</v>
      </c>
      <c r="N55" s="4">
        <v>509590</v>
      </c>
      <c r="O55" s="4">
        <v>0.32842787206013913</v>
      </c>
      <c r="P55" s="4" t="s">
        <v>73</v>
      </c>
      <c r="Q55" s="4">
        <v>75</v>
      </c>
      <c r="R55" s="4" t="s">
        <v>55</v>
      </c>
      <c r="S55" s="4" t="s">
        <v>69</v>
      </c>
    </row>
    <row r="56" spans="1:19" x14ac:dyDescent="0.2">
      <c r="A56" s="4" t="s">
        <v>133</v>
      </c>
      <c r="B56" s="9">
        <v>46138</v>
      </c>
      <c r="C56" s="4" t="s">
        <v>58</v>
      </c>
      <c r="D56" s="4" t="s">
        <v>59</v>
      </c>
      <c r="E56" s="4">
        <v>1</v>
      </c>
      <c r="F56" s="4">
        <v>1386732</v>
      </c>
      <c r="G56" s="4">
        <v>0</v>
      </c>
      <c r="H56" s="4">
        <v>0</v>
      </c>
      <c r="I56" s="4">
        <v>1386732</v>
      </c>
      <c r="J56" s="4">
        <v>696121</v>
      </c>
      <c r="K56" s="4">
        <v>150780</v>
      </c>
      <c r="L56" s="4">
        <v>102063</v>
      </c>
      <c r="M56" s="4">
        <v>948964</v>
      </c>
      <c r="N56" s="4">
        <v>437768</v>
      </c>
      <c r="O56" s="4">
        <v>0.3156832033875327</v>
      </c>
      <c r="P56" s="4" t="s">
        <v>54</v>
      </c>
      <c r="Q56" s="4">
        <v>90</v>
      </c>
      <c r="R56" s="4" t="s">
        <v>55</v>
      </c>
      <c r="S56" s="4" t="s">
        <v>60</v>
      </c>
    </row>
    <row r="57" spans="1:19" x14ac:dyDescent="0.2">
      <c r="A57" s="4" t="s">
        <v>134</v>
      </c>
      <c r="B57" s="9">
        <v>46238</v>
      </c>
      <c r="C57" s="4" t="s">
        <v>79</v>
      </c>
      <c r="D57" s="4" t="s">
        <v>53</v>
      </c>
      <c r="E57" s="4">
        <v>2</v>
      </c>
      <c r="F57" s="4">
        <v>1224442</v>
      </c>
      <c r="G57" s="4">
        <v>0</v>
      </c>
      <c r="H57" s="4">
        <v>15000</v>
      </c>
      <c r="I57" s="4">
        <v>2463884</v>
      </c>
      <c r="J57" s="4">
        <v>1257210</v>
      </c>
      <c r="K57" s="4">
        <v>242428</v>
      </c>
      <c r="L57" s="4">
        <v>188112</v>
      </c>
      <c r="M57" s="4">
        <v>1687750</v>
      </c>
      <c r="N57" s="4">
        <v>776134</v>
      </c>
      <c r="O57" s="4">
        <v>0.31500427779879248</v>
      </c>
      <c r="P57" s="4" t="s">
        <v>76</v>
      </c>
      <c r="Q57" s="4">
        <v>60</v>
      </c>
      <c r="R57" s="4" t="s">
        <v>55</v>
      </c>
      <c r="S57" s="4" t="s">
        <v>56</v>
      </c>
    </row>
    <row r="58" spans="1:19" x14ac:dyDescent="0.2">
      <c r="A58" s="4" t="s">
        <v>135</v>
      </c>
      <c r="B58" s="9">
        <v>46215</v>
      </c>
      <c r="C58" s="4" t="s">
        <v>101</v>
      </c>
      <c r="D58" s="4" t="s">
        <v>19</v>
      </c>
      <c r="E58" s="4">
        <v>1</v>
      </c>
      <c r="F58" s="4">
        <v>2878742</v>
      </c>
      <c r="G58" s="4">
        <v>50000</v>
      </c>
      <c r="H58" s="4">
        <v>0</v>
      </c>
      <c r="I58" s="4">
        <v>2928742</v>
      </c>
      <c r="J58" s="4">
        <v>1414697</v>
      </c>
      <c r="K58" s="4">
        <v>234324</v>
      </c>
      <c r="L58" s="4">
        <v>184288</v>
      </c>
      <c r="M58" s="4">
        <v>1833309</v>
      </c>
      <c r="N58" s="4">
        <v>1095433</v>
      </c>
      <c r="O58" s="4">
        <v>0.37402850780300889</v>
      </c>
      <c r="P58" s="4" t="s">
        <v>76</v>
      </c>
      <c r="Q58" s="4">
        <v>15</v>
      </c>
      <c r="R58" s="4" t="s">
        <v>55</v>
      </c>
      <c r="S58" s="4" t="s">
        <v>64</v>
      </c>
    </row>
    <row r="59" spans="1:19" x14ac:dyDescent="0.2">
      <c r="A59" s="4" t="s">
        <v>136</v>
      </c>
      <c r="B59" s="9">
        <v>46268</v>
      </c>
      <c r="C59" s="4" t="s">
        <v>98</v>
      </c>
      <c r="D59" s="4" t="s">
        <v>59</v>
      </c>
      <c r="E59" s="4">
        <v>1</v>
      </c>
      <c r="F59" s="4">
        <v>1390554</v>
      </c>
      <c r="G59" s="4">
        <v>75000</v>
      </c>
      <c r="H59" s="4">
        <v>15000</v>
      </c>
      <c r="I59" s="4">
        <v>1480554</v>
      </c>
      <c r="J59" s="4">
        <v>782207</v>
      </c>
      <c r="K59" s="4">
        <v>136407</v>
      </c>
      <c r="L59" s="4">
        <v>113242</v>
      </c>
      <c r="M59" s="4">
        <v>1031856</v>
      </c>
      <c r="N59" s="4">
        <v>448698</v>
      </c>
      <c r="O59" s="4">
        <v>0.30306088126471581</v>
      </c>
      <c r="P59" s="4" t="s">
        <v>54</v>
      </c>
      <c r="Q59" s="4">
        <v>15</v>
      </c>
      <c r="R59" s="4" t="s">
        <v>55</v>
      </c>
      <c r="S59" s="4" t="s">
        <v>60</v>
      </c>
    </row>
    <row r="60" spans="1:19" x14ac:dyDescent="0.2">
      <c r="A60" s="4" t="s">
        <v>137</v>
      </c>
      <c r="B60" s="9">
        <v>46138</v>
      </c>
      <c r="C60" s="4" t="s">
        <v>117</v>
      </c>
      <c r="D60" s="4" t="s">
        <v>59</v>
      </c>
      <c r="E60" s="4">
        <v>1</v>
      </c>
      <c r="F60" s="4">
        <v>1367870</v>
      </c>
      <c r="G60" s="4">
        <v>25000</v>
      </c>
      <c r="H60" s="4">
        <v>0</v>
      </c>
      <c r="I60" s="4">
        <v>1392870</v>
      </c>
      <c r="J60" s="4">
        <v>664728</v>
      </c>
      <c r="K60" s="4">
        <v>134395</v>
      </c>
      <c r="L60" s="4">
        <v>112358</v>
      </c>
      <c r="M60" s="4">
        <v>911481</v>
      </c>
      <c r="N60" s="4">
        <v>481389</v>
      </c>
      <c r="O60" s="4">
        <v>0.34560942514376791</v>
      </c>
      <c r="P60" s="4" t="s">
        <v>67</v>
      </c>
      <c r="Q60" s="4">
        <v>90</v>
      </c>
      <c r="R60" s="4" t="s">
        <v>68</v>
      </c>
      <c r="S60" s="4" t="s">
        <v>56</v>
      </c>
    </row>
    <row r="61" spans="1:19" x14ac:dyDescent="0.2">
      <c r="A61" s="4" t="s">
        <v>138</v>
      </c>
      <c r="B61" s="9">
        <v>46172</v>
      </c>
      <c r="C61" s="4" t="s">
        <v>58</v>
      </c>
      <c r="D61" s="4" t="s">
        <v>63</v>
      </c>
      <c r="E61" s="4">
        <v>1</v>
      </c>
      <c r="F61" s="4">
        <v>1869152</v>
      </c>
      <c r="G61" s="4">
        <v>100000</v>
      </c>
      <c r="H61" s="4">
        <v>0</v>
      </c>
      <c r="I61" s="4">
        <v>1969152</v>
      </c>
      <c r="J61" s="4">
        <v>960265</v>
      </c>
      <c r="K61" s="4">
        <v>192932</v>
      </c>
      <c r="L61" s="4">
        <v>143423</v>
      </c>
      <c r="M61" s="4">
        <v>1296620</v>
      </c>
      <c r="N61" s="4">
        <v>672532</v>
      </c>
      <c r="O61" s="4">
        <v>0.34153381760270413</v>
      </c>
      <c r="P61" s="4" t="s">
        <v>67</v>
      </c>
      <c r="Q61" s="4">
        <v>75</v>
      </c>
      <c r="R61" s="4" t="s">
        <v>68</v>
      </c>
      <c r="S61" s="4" t="s">
        <v>69</v>
      </c>
    </row>
    <row r="62" spans="1:19" x14ac:dyDescent="0.2">
      <c r="A62" s="4" t="s">
        <v>139</v>
      </c>
      <c r="B62" s="9">
        <v>46149</v>
      </c>
      <c r="C62" s="4" t="s">
        <v>62</v>
      </c>
      <c r="D62" s="4" t="s">
        <v>53</v>
      </c>
      <c r="E62" s="4">
        <v>1</v>
      </c>
      <c r="F62" s="4">
        <v>1261161</v>
      </c>
      <c r="G62" s="4">
        <v>75000</v>
      </c>
      <c r="H62" s="4">
        <v>0</v>
      </c>
      <c r="I62" s="4">
        <v>1336161</v>
      </c>
      <c r="J62" s="4">
        <v>644185</v>
      </c>
      <c r="K62" s="4">
        <v>132727</v>
      </c>
      <c r="L62" s="4">
        <v>110266</v>
      </c>
      <c r="M62" s="4">
        <v>887178</v>
      </c>
      <c r="N62" s="4">
        <v>448983</v>
      </c>
      <c r="O62" s="4">
        <v>0.3360246257748879</v>
      </c>
      <c r="P62" s="4" t="s">
        <v>54</v>
      </c>
      <c r="Q62" s="4">
        <v>45</v>
      </c>
      <c r="R62" s="4" t="s">
        <v>55</v>
      </c>
      <c r="S62" s="4" t="s">
        <v>64</v>
      </c>
    </row>
    <row r="63" spans="1:19" x14ac:dyDescent="0.2">
      <c r="A63" s="4" t="s">
        <v>140</v>
      </c>
      <c r="B63" s="9">
        <v>46182</v>
      </c>
      <c r="C63" s="4" t="s">
        <v>98</v>
      </c>
      <c r="D63" s="4" t="s">
        <v>19</v>
      </c>
      <c r="E63" s="4">
        <v>1</v>
      </c>
      <c r="F63" s="4">
        <v>2866430</v>
      </c>
      <c r="G63" s="4">
        <v>0</v>
      </c>
      <c r="H63" s="4">
        <v>0</v>
      </c>
      <c r="I63" s="4">
        <v>2866430</v>
      </c>
      <c r="J63" s="4">
        <v>1668784</v>
      </c>
      <c r="K63" s="4">
        <v>270908</v>
      </c>
      <c r="L63" s="4">
        <v>185907</v>
      </c>
      <c r="M63" s="4">
        <v>2125599</v>
      </c>
      <c r="N63" s="4">
        <v>740831</v>
      </c>
      <c r="O63" s="4">
        <v>0.25845075581821292</v>
      </c>
      <c r="P63" s="4" t="s">
        <v>67</v>
      </c>
      <c r="Q63" s="4">
        <v>90</v>
      </c>
      <c r="R63" s="4" t="s">
        <v>55</v>
      </c>
      <c r="S63" s="4" t="s">
        <v>87</v>
      </c>
    </row>
    <row r="64" spans="1:19" x14ac:dyDescent="0.2">
      <c r="A64" s="4" t="s">
        <v>141</v>
      </c>
      <c r="B64" s="9">
        <v>46118</v>
      </c>
      <c r="C64" s="4" t="s">
        <v>71</v>
      </c>
      <c r="D64" s="4" t="s">
        <v>63</v>
      </c>
      <c r="E64" s="4">
        <v>1</v>
      </c>
      <c r="F64" s="4">
        <v>1884303</v>
      </c>
      <c r="G64" s="4">
        <v>50000</v>
      </c>
      <c r="H64" s="4">
        <v>0</v>
      </c>
      <c r="I64" s="4">
        <v>1934303</v>
      </c>
      <c r="J64" s="4">
        <v>907286</v>
      </c>
      <c r="K64" s="4">
        <v>185353</v>
      </c>
      <c r="L64" s="4">
        <v>129647</v>
      </c>
      <c r="M64" s="4">
        <v>1222286</v>
      </c>
      <c r="N64" s="4">
        <v>712017</v>
      </c>
      <c r="O64" s="4">
        <v>0.36810003396572311</v>
      </c>
      <c r="P64" s="4" t="s">
        <v>76</v>
      </c>
      <c r="Q64" s="4">
        <v>60</v>
      </c>
      <c r="R64" s="4" t="s">
        <v>55</v>
      </c>
      <c r="S64" s="4" t="s">
        <v>64</v>
      </c>
    </row>
    <row r="65" spans="1:19" x14ac:dyDescent="0.2">
      <c r="A65" s="4" t="s">
        <v>142</v>
      </c>
      <c r="B65" s="9">
        <v>46136</v>
      </c>
      <c r="C65" s="4" t="s">
        <v>101</v>
      </c>
      <c r="D65" s="4" t="s">
        <v>19</v>
      </c>
      <c r="E65" s="4">
        <v>1</v>
      </c>
      <c r="F65" s="4">
        <v>2762656</v>
      </c>
      <c r="G65" s="4">
        <v>75000</v>
      </c>
      <c r="H65" s="4">
        <v>15000</v>
      </c>
      <c r="I65" s="4">
        <v>2852656</v>
      </c>
      <c r="J65" s="4">
        <v>1602120</v>
      </c>
      <c r="K65" s="4">
        <v>278608</v>
      </c>
      <c r="L65" s="4">
        <v>175060</v>
      </c>
      <c r="M65" s="4">
        <v>2055788</v>
      </c>
      <c r="N65" s="4">
        <v>796868</v>
      </c>
      <c r="O65" s="4">
        <v>0.27934247942969642</v>
      </c>
      <c r="P65" s="4" t="s">
        <v>54</v>
      </c>
      <c r="Q65" s="4">
        <v>60</v>
      </c>
      <c r="R65" s="4" t="s">
        <v>55</v>
      </c>
      <c r="S65" s="4" t="s">
        <v>56</v>
      </c>
    </row>
    <row r="66" spans="1:19" x14ac:dyDescent="0.2">
      <c r="A66" s="4" t="s">
        <v>143</v>
      </c>
      <c r="B66" s="9">
        <v>46229</v>
      </c>
      <c r="C66" s="4" t="s">
        <v>66</v>
      </c>
      <c r="D66" s="4" t="s">
        <v>53</v>
      </c>
      <c r="E66" s="4">
        <v>1</v>
      </c>
      <c r="F66" s="4">
        <v>1182309</v>
      </c>
      <c r="G66" s="4">
        <v>0</v>
      </c>
      <c r="H66" s="4">
        <v>50000</v>
      </c>
      <c r="I66" s="4">
        <v>1232309</v>
      </c>
      <c r="J66" s="4">
        <v>690702</v>
      </c>
      <c r="K66" s="4">
        <v>120125</v>
      </c>
      <c r="L66" s="4">
        <v>101321</v>
      </c>
      <c r="M66" s="4">
        <v>912148</v>
      </c>
      <c r="N66" s="4">
        <v>320161</v>
      </c>
      <c r="O66" s="4">
        <v>0.25980577923231918</v>
      </c>
      <c r="P66" s="4" t="s">
        <v>54</v>
      </c>
      <c r="Q66" s="4">
        <v>15</v>
      </c>
      <c r="R66" s="4" t="s">
        <v>55</v>
      </c>
      <c r="S66" s="4" t="s">
        <v>87</v>
      </c>
    </row>
    <row r="67" spans="1:19" x14ac:dyDescent="0.2">
      <c r="A67" s="4" t="s">
        <v>144</v>
      </c>
      <c r="B67" s="9">
        <v>46205</v>
      </c>
      <c r="C67" s="4" t="s">
        <v>66</v>
      </c>
      <c r="D67" s="4" t="s">
        <v>19</v>
      </c>
      <c r="E67" s="4">
        <v>1</v>
      </c>
      <c r="F67" s="4">
        <v>2929916</v>
      </c>
      <c r="G67" s="4">
        <v>75000</v>
      </c>
      <c r="H67" s="4">
        <v>30000</v>
      </c>
      <c r="I67" s="4">
        <v>3034916</v>
      </c>
      <c r="J67" s="4">
        <v>1460281</v>
      </c>
      <c r="K67" s="4">
        <v>259326</v>
      </c>
      <c r="L67" s="4">
        <v>198735</v>
      </c>
      <c r="M67" s="4">
        <v>1918342</v>
      </c>
      <c r="N67" s="4">
        <v>1116574</v>
      </c>
      <c r="O67" s="4">
        <v>0.36790935894107119</v>
      </c>
      <c r="P67" s="4" t="s">
        <v>67</v>
      </c>
      <c r="Q67" s="4">
        <v>90</v>
      </c>
      <c r="R67" s="4" t="s">
        <v>68</v>
      </c>
      <c r="S67" s="4" t="s">
        <v>60</v>
      </c>
    </row>
    <row r="68" spans="1:19" x14ac:dyDescent="0.2">
      <c r="A68" s="4" t="s">
        <v>145</v>
      </c>
      <c r="B68" s="9">
        <v>46153</v>
      </c>
      <c r="C68" s="4" t="s">
        <v>75</v>
      </c>
      <c r="D68" s="4" t="s">
        <v>63</v>
      </c>
      <c r="E68" s="4">
        <v>1</v>
      </c>
      <c r="F68" s="4">
        <v>1831167</v>
      </c>
      <c r="G68" s="4">
        <v>75000</v>
      </c>
      <c r="H68" s="4">
        <v>0</v>
      </c>
      <c r="I68" s="4">
        <v>1906167</v>
      </c>
      <c r="J68" s="4">
        <v>891709</v>
      </c>
      <c r="K68" s="4">
        <v>206651</v>
      </c>
      <c r="L68" s="4">
        <v>143109</v>
      </c>
      <c r="M68" s="4">
        <v>1241469</v>
      </c>
      <c r="N68" s="4">
        <v>664698</v>
      </c>
      <c r="O68" s="4">
        <v>0.34870921592913939</v>
      </c>
      <c r="P68" s="4" t="s">
        <v>54</v>
      </c>
      <c r="Q68" s="4">
        <v>30</v>
      </c>
      <c r="R68" s="4" t="s">
        <v>55</v>
      </c>
      <c r="S68" s="4" t="s">
        <v>60</v>
      </c>
    </row>
    <row r="69" spans="1:19" x14ac:dyDescent="0.2">
      <c r="A69" s="4" t="s">
        <v>146</v>
      </c>
      <c r="B69" s="9">
        <v>46187</v>
      </c>
      <c r="C69" s="4" t="s">
        <v>79</v>
      </c>
      <c r="D69" s="4" t="s">
        <v>63</v>
      </c>
      <c r="E69" s="4">
        <v>1</v>
      </c>
      <c r="F69" s="4">
        <v>1813589</v>
      </c>
      <c r="G69" s="4">
        <v>25000</v>
      </c>
      <c r="H69" s="4">
        <v>50000</v>
      </c>
      <c r="I69" s="4">
        <v>1888589</v>
      </c>
      <c r="J69" s="4">
        <v>963721</v>
      </c>
      <c r="K69" s="4">
        <v>182555</v>
      </c>
      <c r="L69" s="4">
        <v>121136</v>
      </c>
      <c r="M69" s="4">
        <v>1267412</v>
      </c>
      <c r="N69" s="4">
        <v>621177</v>
      </c>
      <c r="O69" s="4">
        <v>0.32891063116432429</v>
      </c>
      <c r="P69" s="4" t="s">
        <v>54</v>
      </c>
      <c r="Q69" s="4">
        <v>30</v>
      </c>
      <c r="R69" s="4" t="s">
        <v>55</v>
      </c>
      <c r="S69" s="4" t="s">
        <v>69</v>
      </c>
    </row>
    <row r="70" spans="1:19" x14ac:dyDescent="0.2">
      <c r="A70" s="4" t="s">
        <v>147</v>
      </c>
      <c r="B70" s="9">
        <v>46219</v>
      </c>
      <c r="C70" s="4" t="s">
        <v>58</v>
      </c>
      <c r="D70" s="4" t="s">
        <v>63</v>
      </c>
      <c r="E70" s="4">
        <v>2</v>
      </c>
      <c r="F70" s="4">
        <v>1819949</v>
      </c>
      <c r="G70" s="4">
        <v>100000</v>
      </c>
      <c r="H70" s="4">
        <v>50000</v>
      </c>
      <c r="I70" s="4">
        <v>3789898</v>
      </c>
      <c r="J70" s="4">
        <v>2059808</v>
      </c>
      <c r="K70" s="4">
        <v>349454</v>
      </c>
      <c r="L70" s="4">
        <v>251076</v>
      </c>
      <c r="M70" s="4">
        <v>2660338</v>
      </c>
      <c r="N70" s="4">
        <v>1129560</v>
      </c>
      <c r="O70" s="4">
        <v>0.29804496057677538</v>
      </c>
      <c r="P70" s="4" t="s">
        <v>76</v>
      </c>
      <c r="Q70" s="4">
        <v>60</v>
      </c>
      <c r="R70" s="4" t="s">
        <v>55</v>
      </c>
      <c r="S70" s="4" t="s">
        <v>64</v>
      </c>
    </row>
    <row r="71" spans="1:19" x14ac:dyDescent="0.2">
      <c r="A71" s="4" t="s">
        <v>148</v>
      </c>
      <c r="B71" s="9">
        <v>46250</v>
      </c>
      <c r="C71" s="4" t="s">
        <v>93</v>
      </c>
      <c r="D71" s="4" t="s">
        <v>19</v>
      </c>
      <c r="E71" s="4">
        <v>1</v>
      </c>
      <c r="F71" s="4">
        <v>2848351</v>
      </c>
      <c r="G71" s="4">
        <v>25000</v>
      </c>
      <c r="H71" s="4">
        <v>0</v>
      </c>
      <c r="I71" s="4">
        <v>2873351</v>
      </c>
      <c r="J71" s="4">
        <v>1563602</v>
      </c>
      <c r="K71" s="4">
        <v>253459</v>
      </c>
      <c r="L71" s="4">
        <v>174742</v>
      </c>
      <c r="M71" s="4">
        <v>1991803</v>
      </c>
      <c r="N71" s="4">
        <v>881548</v>
      </c>
      <c r="O71" s="4">
        <v>0.30680136189417861</v>
      </c>
      <c r="P71" s="4" t="s">
        <v>54</v>
      </c>
      <c r="Q71" s="4">
        <v>30</v>
      </c>
      <c r="R71" s="4" t="s">
        <v>55</v>
      </c>
      <c r="S71" s="4" t="s">
        <v>56</v>
      </c>
    </row>
    <row r="72" spans="1:19" x14ac:dyDescent="0.2">
      <c r="A72" s="4" t="s">
        <v>149</v>
      </c>
      <c r="B72" s="9">
        <v>46194</v>
      </c>
      <c r="C72" s="4" t="s">
        <v>101</v>
      </c>
      <c r="D72" s="4" t="s">
        <v>19</v>
      </c>
      <c r="E72" s="4">
        <v>1</v>
      </c>
      <c r="F72" s="4">
        <v>2950072</v>
      </c>
      <c r="G72" s="4">
        <v>25000</v>
      </c>
      <c r="H72" s="4">
        <v>30000</v>
      </c>
      <c r="I72" s="4">
        <v>3005072</v>
      </c>
      <c r="J72" s="4">
        <v>1515767</v>
      </c>
      <c r="K72" s="4">
        <v>266480</v>
      </c>
      <c r="L72" s="4">
        <v>194501</v>
      </c>
      <c r="M72" s="4">
        <v>1976748</v>
      </c>
      <c r="N72" s="4">
        <v>1028324</v>
      </c>
      <c r="O72" s="4">
        <v>0.34219612708114822</v>
      </c>
      <c r="P72" s="4" t="s">
        <v>76</v>
      </c>
      <c r="Q72" s="4">
        <v>30</v>
      </c>
      <c r="R72" s="4" t="s">
        <v>55</v>
      </c>
      <c r="S72" s="4" t="s">
        <v>87</v>
      </c>
    </row>
    <row r="73" spans="1:19" x14ac:dyDescent="0.2">
      <c r="A73" s="4" t="s">
        <v>150</v>
      </c>
      <c r="B73" s="9">
        <v>46197</v>
      </c>
      <c r="C73" s="4" t="s">
        <v>62</v>
      </c>
      <c r="D73" s="4" t="s">
        <v>53</v>
      </c>
      <c r="E73" s="4">
        <v>2</v>
      </c>
      <c r="F73" s="4">
        <v>1201971</v>
      </c>
      <c r="G73" s="4">
        <v>75000</v>
      </c>
      <c r="H73" s="4">
        <v>0</v>
      </c>
      <c r="I73" s="4">
        <v>2478942</v>
      </c>
      <c r="J73" s="4">
        <v>1271234</v>
      </c>
      <c r="K73" s="4">
        <v>243414</v>
      </c>
      <c r="L73" s="4">
        <v>211786</v>
      </c>
      <c r="M73" s="4">
        <v>1726434</v>
      </c>
      <c r="N73" s="4">
        <v>752508</v>
      </c>
      <c r="O73" s="4">
        <v>0.30356014783726282</v>
      </c>
      <c r="P73" s="4" t="s">
        <v>67</v>
      </c>
      <c r="Q73" s="4">
        <v>45</v>
      </c>
      <c r="R73" s="4" t="s">
        <v>68</v>
      </c>
      <c r="S73" s="4" t="s">
        <v>64</v>
      </c>
    </row>
    <row r="74" spans="1:19" x14ac:dyDescent="0.2">
      <c r="A74" s="4" t="s">
        <v>151</v>
      </c>
      <c r="B74" s="9">
        <v>46279</v>
      </c>
      <c r="C74" s="4" t="s">
        <v>71</v>
      </c>
      <c r="D74" s="4" t="s">
        <v>53</v>
      </c>
      <c r="E74" s="4">
        <v>2</v>
      </c>
      <c r="F74" s="4">
        <v>1271193</v>
      </c>
      <c r="G74" s="4">
        <v>75000</v>
      </c>
      <c r="H74" s="4">
        <v>50000</v>
      </c>
      <c r="I74" s="4">
        <v>2667386</v>
      </c>
      <c r="J74" s="4">
        <v>1353916</v>
      </c>
      <c r="K74" s="4">
        <v>238800</v>
      </c>
      <c r="L74" s="4">
        <v>193932</v>
      </c>
      <c r="M74" s="4">
        <v>1786648</v>
      </c>
      <c r="N74" s="4">
        <v>880738</v>
      </c>
      <c r="O74" s="4">
        <v>0.33018768187281478</v>
      </c>
      <c r="P74" s="4" t="s">
        <v>67</v>
      </c>
      <c r="Q74" s="4">
        <v>15</v>
      </c>
      <c r="R74" s="4" t="s">
        <v>68</v>
      </c>
      <c r="S74" s="4" t="s">
        <v>69</v>
      </c>
    </row>
    <row r="75" spans="1:19" x14ac:dyDescent="0.2">
      <c r="A75" s="4" t="s">
        <v>152</v>
      </c>
      <c r="B75" s="9">
        <v>46171</v>
      </c>
      <c r="C75" s="4" t="s">
        <v>83</v>
      </c>
      <c r="D75" s="4" t="s">
        <v>53</v>
      </c>
      <c r="E75" s="4">
        <v>1</v>
      </c>
      <c r="F75" s="4">
        <v>1144538</v>
      </c>
      <c r="G75" s="4">
        <v>50000</v>
      </c>
      <c r="H75" s="4">
        <v>0</v>
      </c>
      <c r="I75" s="4">
        <v>1194538</v>
      </c>
      <c r="J75" s="4">
        <v>648984</v>
      </c>
      <c r="K75" s="4">
        <v>134177</v>
      </c>
      <c r="L75" s="4">
        <v>99760</v>
      </c>
      <c r="M75" s="4">
        <v>882921</v>
      </c>
      <c r="N75" s="4">
        <v>311617</v>
      </c>
      <c r="O75" s="4">
        <v>0.26086821850790848</v>
      </c>
      <c r="P75" s="4" t="s">
        <v>67</v>
      </c>
      <c r="Q75" s="4">
        <v>15</v>
      </c>
      <c r="R75" s="4" t="s">
        <v>68</v>
      </c>
      <c r="S75" s="4" t="s">
        <v>64</v>
      </c>
    </row>
    <row r="76" spans="1:19" x14ac:dyDescent="0.2">
      <c r="A76" s="4" t="s">
        <v>153</v>
      </c>
      <c r="B76" s="9">
        <v>46150</v>
      </c>
      <c r="C76" s="4" t="s">
        <v>98</v>
      </c>
      <c r="D76" s="4" t="s">
        <v>59</v>
      </c>
      <c r="E76" s="4">
        <v>1</v>
      </c>
      <c r="F76" s="4">
        <v>1426921</v>
      </c>
      <c r="G76" s="4">
        <v>75000</v>
      </c>
      <c r="H76" s="4">
        <v>50000</v>
      </c>
      <c r="I76" s="4">
        <v>1551921</v>
      </c>
      <c r="J76" s="4">
        <v>765737</v>
      </c>
      <c r="K76" s="4">
        <v>131949</v>
      </c>
      <c r="L76" s="4">
        <v>100911</v>
      </c>
      <c r="M76" s="4">
        <v>998597</v>
      </c>
      <c r="N76" s="4">
        <v>553324</v>
      </c>
      <c r="O76" s="4">
        <v>0.35654134456586378</v>
      </c>
      <c r="P76" s="4" t="s">
        <v>73</v>
      </c>
      <c r="Q76" s="4">
        <v>60</v>
      </c>
      <c r="R76" s="4" t="s">
        <v>55</v>
      </c>
      <c r="S76" s="4" t="s">
        <v>77</v>
      </c>
    </row>
    <row r="77" spans="1:19" x14ac:dyDescent="0.2">
      <c r="A77" s="4" t="s">
        <v>154</v>
      </c>
      <c r="B77" s="9">
        <v>46172</v>
      </c>
      <c r="C77" s="4" t="s">
        <v>98</v>
      </c>
      <c r="D77" s="4" t="s">
        <v>19</v>
      </c>
      <c r="E77" s="4">
        <v>1</v>
      </c>
      <c r="F77" s="4">
        <v>2812151</v>
      </c>
      <c r="G77" s="4">
        <v>50000</v>
      </c>
      <c r="H77" s="4">
        <v>50000</v>
      </c>
      <c r="I77" s="4">
        <v>2912151</v>
      </c>
      <c r="J77" s="4">
        <v>1601119</v>
      </c>
      <c r="K77" s="4">
        <v>281181</v>
      </c>
      <c r="L77" s="4">
        <v>180424</v>
      </c>
      <c r="M77" s="4">
        <v>2062724</v>
      </c>
      <c r="N77" s="4">
        <v>849427</v>
      </c>
      <c r="O77" s="4">
        <v>0.29168370733523091</v>
      </c>
      <c r="P77" s="4" t="s">
        <v>67</v>
      </c>
      <c r="Q77" s="4">
        <v>60</v>
      </c>
      <c r="R77" s="4" t="s">
        <v>55</v>
      </c>
      <c r="S77" s="4" t="s">
        <v>69</v>
      </c>
    </row>
    <row r="78" spans="1:19" x14ac:dyDescent="0.2">
      <c r="A78" s="4" t="s">
        <v>155</v>
      </c>
      <c r="B78" s="9">
        <v>46276</v>
      </c>
      <c r="C78" s="4" t="s">
        <v>62</v>
      </c>
      <c r="D78" s="4" t="s">
        <v>19</v>
      </c>
      <c r="E78" s="4">
        <v>1</v>
      </c>
      <c r="F78" s="4">
        <v>2811079</v>
      </c>
      <c r="G78" s="4">
        <v>0</v>
      </c>
      <c r="H78" s="4">
        <v>0</v>
      </c>
      <c r="I78" s="4">
        <v>2811079</v>
      </c>
      <c r="J78" s="4">
        <v>1490244</v>
      </c>
      <c r="K78" s="4">
        <v>287460</v>
      </c>
      <c r="L78" s="4">
        <v>195792</v>
      </c>
      <c r="M78" s="4">
        <v>1973496</v>
      </c>
      <c r="N78" s="4">
        <v>837583</v>
      </c>
      <c r="O78" s="4">
        <v>0.29795783042739099</v>
      </c>
      <c r="P78" s="4" t="s">
        <v>67</v>
      </c>
      <c r="Q78" s="4">
        <v>45</v>
      </c>
      <c r="R78" s="4" t="s">
        <v>68</v>
      </c>
      <c r="S78" s="4" t="s">
        <v>69</v>
      </c>
    </row>
    <row r="79" spans="1:19" x14ac:dyDescent="0.2">
      <c r="A79" s="4" t="s">
        <v>156</v>
      </c>
      <c r="B79" s="9">
        <v>46118</v>
      </c>
      <c r="C79" s="4" t="s">
        <v>66</v>
      </c>
      <c r="D79" s="4" t="s">
        <v>19</v>
      </c>
      <c r="E79" s="4">
        <v>1</v>
      </c>
      <c r="F79" s="4">
        <v>2853844</v>
      </c>
      <c r="G79" s="4">
        <v>100000</v>
      </c>
      <c r="H79" s="4">
        <v>30000</v>
      </c>
      <c r="I79" s="4">
        <v>2983844</v>
      </c>
      <c r="J79" s="4">
        <v>1606883</v>
      </c>
      <c r="K79" s="4">
        <v>271541</v>
      </c>
      <c r="L79" s="4">
        <v>163942</v>
      </c>
      <c r="M79" s="4">
        <v>2042366</v>
      </c>
      <c r="N79" s="4">
        <v>941478</v>
      </c>
      <c r="O79" s="4">
        <v>0.31552520842242421</v>
      </c>
      <c r="P79" s="4" t="s">
        <v>89</v>
      </c>
      <c r="Q79" s="4">
        <v>45</v>
      </c>
      <c r="R79" s="4" t="s">
        <v>55</v>
      </c>
      <c r="S79" s="4" t="s">
        <v>87</v>
      </c>
    </row>
    <row r="80" spans="1:19" x14ac:dyDescent="0.2">
      <c r="A80" s="4" t="s">
        <v>157</v>
      </c>
      <c r="B80" s="9">
        <v>46203</v>
      </c>
      <c r="C80" s="4" t="s">
        <v>52</v>
      </c>
      <c r="D80" s="4" t="s">
        <v>59</v>
      </c>
      <c r="E80" s="4">
        <v>1</v>
      </c>
      <c r="F80" s="4">
        <v>1437694</v>
      </c>
      <c r="G80" s="4">
        <v>25000</v>
      </c>
      <c r="H80" s="4">
        <v>0</v>
      </c>
      <c r="I80" s="4">
        <v>1462694</v>
      </c>
      <c r="J80" s="4">
        <v>749442</v>
      </c>
      <c r="K80" s="4">
        <v>151232</v>
      </c>
      <c r="L80" s="4">
        <v>114952</v>
      </c>
      <c r="M80" s="4">
        <v>1015626</v>
      </c>
      <c r="N80" s="4">
        <v>447068</v>
      </c>
      <c r="O80" s="4">
        <v>0.30564697742658409</v>
      </c>
      <c r="P80" s="4" t="s">
        <v>76</v>
      </c>
      <c r="Q80" s="4">
        <v>90</v>
      </c>
      <c r="R80" s="4" t="s">
        <v>55</v>
      </c>
      <c r="S80" s="4" t="s">
        <v>69</v>
      </c>
    </row>
    <row r="81" spans="1:19" x14ac:dyDescent="0.2">
      <c r="A81" s="4" t="s">
        <v>158</v>
      </c>
      <c r="B81" s="9">
        <v>46225</v>
      </c>
      <c r="C81" s="4" t="s">
        <v>83</v>
      </c>
      <c r="D81" s="4" t="s">
        <v>53</v>
      </c>
      <c r="E81" s="4">
        <v>1</v>
      </c>
      <c r="F81" s="4">
        <v>1251036</v>
      </c>
      <c r="G81" s="4">
        <v>25000</v>
      </c>
      <c r="H81" s="4">
        <v>0</v>
      </c>
      <c r="I81" s="4">
        <v>1276036</v>
      </c>
      <c r="J81" s="4">
        <v>581576</v>
      </c>
      <c r="K81" s="4">
        <v>116853</v>
      </c>
      <c r="L81" s="4">
        <v>106444</v>
      </c>
      <c r="M81" s="4">
        <v>804873</v>
      </c>
      <c r="N81" s="4">
        <v>471163</v>
      </c>
      <c r="O81" s="4">
        <v>0.3692395825823096</v>
      </c>
      <c r="P81" s="4" t="s">
        <v>67</v>
      </c>
      <c r="Q81" s="4">
        <v>75</v>
      </c>
      <c r="R81" s="4" t="s">
        <v>55</v>
      </c>
      <c r="S81" s="4" t="s">
        <v>87</v>
      </c>
    </row>
    <row r="82" spans="1:19" x14ac:dyDescent="0.2">
      <c r="A82" s="4" t="s">
        <v>159</v>
      </c>
      <c r="B82" s="9">
        <v>46241</v>
      </c>
      <c r="C82" s="4" t="s">
        <v>58</v>
      </c>
      <c r="D82" s="4" t="s">
        <v>63</v>
      </c>
      <c r="E82" s="4">
        <v>2</v>
      </c>
      <c r="F82" s="4">
        <v>1756756</v>
      </c>
      <c r="G82" s="4">
        <v>50000</v>
      </c>
      <c r="H82" s="4">
        <v>0</v>
      </c>
      <c r="I82" s="4">
        <v>3563512</v>
      </c>
      <c r="J82" s="4">
        <v>2061382</v>
      </c>
      <c r="K82" s="4">
        <v>367366</v>
      </c>
      <c r="L82" s="4">
        <v>280130</v>
      </c>
      <c r="M82" s="4">
        <v>2708878</v>
      </c>
      <c r="N82" s="4">
        <v>854634</v>
      </c>
      <c r="O82" s="4">
        <v>0.23982913485348159</v>
      </c>
      <c r="P82" s="4" t="s">
        <v>54</v>
      </c>
      <c r="Q82" s="4">
        <v>15</v>
      </c>
      <c r="R82" s="4" t="s">
        <v>55</v>
      </c>
      <c r="S82" s="4" t="s">
        <v>77</v>
      </c>
    </row>
    <row r="83" spans="1:19" x14ac:dyDescent="0.2">
      <c r="A83" s="4" t="s">
        <v>160</v>
      </c>
      <c r="B83" s="9">
        <v>46286</v>
      </c>
      <c r="C83" s="4" t="s">
        <v>117</v>
      </c>
      <c r="D83" s="4" t="s">
        <v>19</v>
      </c>
      <c r="E83" s="4">
        <v>3</v>
      </c>
      <c r="F83" s="4">
        <v>2947398</v>
      </c>
      <c r="G83" s="4">
        <v>100000</v>
      </c>
      <c r="H83" s="4">
        <v>0</v>
      </c>
      <c r="I83" s="4">
        <v>8942194</v>
      </c>
      <c r="J83" s="4">
        <v>4528785</v>
      </c>
      <c r="K83" s="4">
        <v>823251</v>
      </c>
      <c r="L83" s="4">
        <v>487653</v>
      </c>
      <c r="M83" s="4">
        <v>5839689</v>
      </c>
      <c r="N83" s="4">
        <v>3102505</v>
      </c>
      <c r="O83" s="4">
        <v>0.34695120682910702</v>
      </c>
      <c r="P83" s="4" t="s">
        <v>67</v>
      </c>
      <c r="Q83" s="4">
        <v>90</v>
      </c>
      <c r="R83" s="4" t="s">
        <v>55</v>
      </c>
      <c r="S83" s="4" t="s">
        <v>87</v>
      </c>
    </row>
    <row r="84" spans="1:19" x14ac:dyDescent="0.2">
      <c r="A84" s="4" t="s">
        <v>161</v>
      </c>
      <c r="B84" s="9">
        <v>46210</v>
      </c>
      <c r="C84" s="4" t="s">
        <v>75</v>
      </c>
      <c r="D84" s="4" t="s">
        <v>63</v>
      </c>
      <c r="E84" s="4">
        <v>1</v>
      </c>
      <c r="F84" s="4">
        <v>1750923</v>
      </c>
      <c r="G84" s="4">
        <v>100000</v>
      </c>
      <c r="H84" s="4">
        <v>0</v>
      </c>
      <c r="I84" s="4">
        <v>1850923</v>
      </c>
      <c r="J84" s="4">
        <v>878754</v>
      </c>
      <c r="K84" s="4">
        <v>201790</v>
      </c>
      <c r="L84" s="4">
        <v>133056</v>
      </c>
      <c r="M84" s="4">
        <v>1213600</v>
      </c>
      <c r="N84" s="4">
        <v>637323</v>
      </c>
      <c r="O84" s="4">
        <v>0.34432712760066192</v>
      </c>
      <c r="P84" s="4" t="s">
        <v>54</v>
      </c>
      <c r="Q84" s="4">
        <v>90</v>
      </c>
      <c r="R84" s="4" t="s">
        <v>55</v>
      </c>
      <c r="S84" s="4" t="s">
        <v>60</v>
      </c>
    </row>
    <row r="85" spans="1:19" x14ac:dyDescent="0.2">
      <c r="A85" s="4" t="s">
        <v>162</v>
      </c>
      <c r="B85" s="9">
        <v>46190</v>
      </c>
      <c r="C85" s="4" t="s">
        <v>62</v>
      </c>
      <c r="D85" s="4" t="s">
        <v>19</v>
      </c>
      <c r="E85" s="4">
        <v>1</v>
      </c>
      <c r="F85" s="4">
        <v>2649775</v>
      </c>
      <c r="G85" s="4">
        <v>25000</v>
      </c>
      <c r="H85" s="4">
        <v>50000</v>
      </c>
      <c r="I85" s="4">
        <v>2724775</v>
      </c>
      <c r="J85" s="4">
        <v>1409712</v>
      </c>
      <c r="K85" s="4">
        <v>287245</v>
      </c>
      <c r="L85" s="4">
        <v>166598</v>
      </c>
      <c r="M85" s="4">
        <v>1863555</v>
      </c>
      <c r="N85" s="4">
        <v>861220</v>
      </c>
      <c r="O85" s="4">
        <v>0.31607013423126679</v>
      </c>
      <c r="P85" s="4" t="s">
        <v>67</v>
      </c>
      <c r="Q85" s="4">
        <v>60</v>
      </c>
      <c r="R85" s="4" t="s">
        <v>68</v>
      </c>
      <c r="S85" s="4" t="s">
        <v>60</v>
      </c>
    </row>
    <row r="86" spans="1:19" x14ac:dyDescent="0.2">
      <c r="A86" s="4" t="s">
        <v>163</v>
      </c>
      <c r="B86" s="9">
        <v>46251</v>
      </c>
      <c r="C86" s="4" t="s">
        <v>52</v>
      </c>
      <c r="D86" s="4" t="s">
        <v>19</v>
      </c>
      <c r="E86" s="4">
        <v>1</v>
      </c>
      <c r="F86" s="4">
        <v>2916826</v>
      </c>
      <c r="G86" s="4">
        <v>100000</v>
      </c>
      <c r="H86" s="4">
        <v>30000</v>
      </c>
      <c r="I86" s="4">
        <v>3046826</v>
      </c>
      <c r="J86" s="4">
        <v>1667565</v>
      </c>
      <c r="K86" s="4">
        <v>265932</v>
      </c>
      <c r="L86" s="4">
        <v>195014</v>
      </c>
      <c r="M86" s="4">
        <v>2128511</v>
      </c>
      <c r="N86" s="4">
        <v>918315</v>
      </c>
      <c r="O86" s="4">
        <v>0.30140053944662409</v>
      </c>
      <c r="P86" s="4" t="s">
        <v>76</v>
      </c>
      <c r="Q86" s="4">
        <v>45</v>
      </c>
      <c r="R86" s="4" t="s">
        <v>55</v>
      </c>
      <c r="S86" s="4" t="s">
        <v>60</v>
      </c>
    </row>
    <row r="87" spans="1:19" x14ac:dyDescent="0.2">
      <c r="A87" s="4" t="s">
        <v>164</v>
      </c>
      <c r="B87" s="9">
        <v>46207</v>
      </c>
      <c r="C87" s="4" t="s">
        <v>79</v>
      </c>
      <c r="D87" s="4" t="s">
        <v>59</v>
      </c>
      <c r="E87" s="4">
        <v>1</v>
      </c>
      <c r="F87" s="4">
        <v>1502308</v>
      </c>
      <c r="G87" s="4">
        <v>100000</v>
      </c>
      <c r="H87" s="4">
        <v>15000</v>
      </c>
      <c r="I87" s="4">
        <v>1617308</v>
      </c>
      <c r="J87" s="4">
        <v>774673</v>
      </c>
      <c r="K87" s="4">
        <v>129477</v>
      </c>
      <c r="L87" s="4">
        <v>115593</v>
      </c>
      <c r="M87" s="4">
        <v>1019743</v>
      </c>
      <c r="N87" s="4">
        <v>597565</v>
      </c>
      <c r="O87" s="4">
        <v>0.369481261454219</v>
      </c>
      <c r="P87" s="4" t="s">
        <v>67</v>
      </c>
      <c r="Q87" s="4">
        <v>45</v>
      </c>
      <c r="R87" s="4" t="s">
        <v>68</v>
      </c>
      <c r="S87" s="4" t="s">
        <v>64</v>
      </c>
    </row>
    <row r="88" spans="1:19" x14ac:dyDescent="0.2">
      <c r="A88" s="4" t="s">
        <v>165</v>
      </c>
      <c r="B88" s="9">
        <v>46136</v>
      </c>
      <c r="C88" s="4" t="s">
        <v>66</v>
      </c>
      <c r="D88" s="4" t="s">
        <v>59</v>
      </c>
      <c r="E88" s="4">
        <v>1</v>
      </c>
      <c r="F88" s="4">
        <v>1433040</v>
      </c>
      <c r="G88" s="4">
        <v>25000</v>
      </c>
      <c r="H88" s="4">
        <v>50000</v>
      </c>
      <c r="I88" s="4">
        <v>1508040</v>
      </c>
      <c r="J88" s="4">
        <v>656232</v>
      </c>
      <c r="K88" s="4">
        <v>153537</v>
      </c>
      <c r="L88" s="4">
        <v>104894</v>
      </c>
      <c r="M88" s="4">
        <v>914663</v>
      </c>
      <c r="N88" s="4">
        <v>593377</v>
      </c>
      <c r="O88" s="4">
        <v>0.39347563725100132</v>
      </c>
      <c r="P88" s="4" t="s">
        <v>67</v>
      </c>
      <c r="Q88" s="4">
        <v>75</v>
      </c>
      <c r="R88" s="4" t="s">
        <v>68</v>
      </c>
      <c r="S88" s="4" t="s">
        <v>77</v>
      </c>
    </row>
    <row r="89" spans="1:19" x14ac:dyDescent="0.2">
      <c r="A89" s="4" t="s">
        <v>166</v>
      </c>
      <c r="B89" s="9">
        <v>46197</v>
      </c>
      <c r="C89" s="4" t="s">
        <v>71</v>
      </c>
      <c r="D89" s="4" t="s">
        <v>59</v>
      </c>
      <c r="E89" s="4">
        <v>2</v>
      </c>
      <c r="F89" s="4">
        <v>1432812</v>
      </c>
      <c r="G89" s="4">
        <v>100000</v>
      </c>
      <c r="H89" s="4">
        <v>15000</v>
      </c>
      <c r="I89" s="4">
        <v>2980624</v>
      </c>
      <c r="J89" s="4">
        <v>1385146</v>
      </c>
      <c r="K89" s="4">
        <v>320880</v>
      </c>
      <c r="L89" s="4">
        <v>245796</v>
      </c>
      <c r="M89" s="4">
        <v>1951822</v>
      </c>
      <c r="N89" s="4">
        <v>1028802</v>
      </c>
      <c r="O89" s="4">
        <v>0.34516329466581502</v>
      </c>
      <c r="P89" s="4" t="s">
        <v>89</v>
      </c>
      <c r="Q89" s="4">
        <v>15</v>
      </c>
      <c r="R89" s="4" t="s">
        <v>55</v>
      </c>
      <c r="S89" s="4" t="s">
        <v>56</v>
      </c>
    </row>
    <row r="90" spans="1:19" x14ac:dyDescent="0.2">
      <c r="A90" s="4" t="s">
        <v>167</v>
      </c>
      <c r="B90" s="9">
        <v>46146</v>
      </c>
      <c r="C90" s="4" t="s">
        <v>79</v>
      </c>
      <c r="D90" s="4" t="s">
        <v>53</v>
      </c>
      <c r="E90" s="4">
        <v>1</v>
      </c>
      <c r="F90" s="4">
        <v>1260456</v>
      </c>
      <c r="G90" s="4">
        <v>25000</v>
      </c>
      <c r="H90" s="4">
        <v>30000</v>
      </c>
      <c r="I90" s="4">
        <v>1315456</v>
      </c>
      <c r="J90" s="4">
        <v>643417</v>
      </c>
      <c r="K90" s="4">
        <v>108473</v>
      </c>
      <c r="L90" s="4">
        <v>95838</v>
      </c>
      <c r="M90" s="4">
        <v>847728</v>
      </c>
      <c r="N90" s="4">
        <v>467728</v>
      </c>
      <c r="O90" s="4">
        <v>0.35556339398657189</v>
      </c>
      <c r="P90" s="4" t="s">
        <v>54</v>
      </c>
      <c r="Q90" s="4">
        <v>90</v>
      </c>
      <c r="R90" s="4" t="s">
        <v>55</v>
      </c>
      <c r="S90" s="4" t="s">
        <v>64</v>
      </c>
    </row>
    <row r="91" spans="1:19" x14ac:dyDescent="0.2">
      <c r="A91" s="4" t="s">
        <v>168</v>
      </c>
      <c r="B91" s="9">
        <v>46227</v>
      </c>
      <c r="C91" s="4" t="s">
        <v>75</v>
      </c>
      <c r="D91" s="4" t="s">
        <v>63</v>
      </c>
      <c r="E91" s="4">
        <v>1</v>
      </c>
      <c r="F91" s="4">
        <v>1719481</v>
      </c>
      <c r="G91" s="4">
        <v>100000</v>
      </c>
      <c r="H91" s="4">
        <v>15000</v>
      </c>
      <c r="I91" s="4">
        <v>1834481</v>
      </c>
      <c r="J91" s="4">
        <v>969729</v>
      </c>
      <c r="K91" s="4">
        <v>204543</v>
      </c>
      <c r="L91" s="4">
        <v>118240</v>
      </c>
      <c r="M91" s="4">
        <v>1292512</v>
      </c>
      <c r="N91" s="4">
        <v>541969</v>
      </c>
      <c r="O91" s="4">
        <v>0.29543451254060421</v>
      </c>
      <c r="P91" s="4" t="s">
        <v>67</v>
      </c>
      <c r="Q91" s="4">
        <v>15</v>
      </c>
      <c r="R91" s="4" t="s">
        <v>68</v>
      </c>
      <c r="S91" s="4" t="s">
        <v>64</v>
      </c>
    </row>
    <row r="92" spans="1:19" x14ac:dyDescent="0.2">
      <c r="A92" s="4" t="s">
        <v>169</v>
      </c>
      <c r="B92" s="9">
        <v>46222</v>
      </c>
      <c r="C92" s="4" t="s">
        <v>62</v>
      </c>
      <c r="D92" s="4" t="s">
        <v>53</v>
      </c>
      <c r="E92" s="4">
        <v>1</v>
      </c>
      <c r="F92" s="4">
        <v>1280829</v>
      </c>
      <c r="G92" s="4">
        <v>0</v>
      </c>
      <c r="H92" s="4">
        <v>0</v>
      </c>
      <c r="I92" s="4">
        <v>1280829</v>
      </c>
      <c r="J92" s="4">
        <v>579512</v>
      </c>
      <c r="K92" s="4">
        <v>110423</v>
      </c>
      <c r="L92" s="4">
        <v>103382</v>
      </c>
      <c r="M92" s="4">
        <v>793317</v>
      </c>
      <c r="N92" s="4">
        <v>487512</v>
      </c>
      <c r="O92" s="4">
        <v>0.38062223762891068</v>
      </c>
      <c r="P92" s="4" t="s">
        <v>67</v>
      </c>
      <c r="Q92" s="4">
        <v>90</v>
      </c>
      <c r="R92" s="4" t="s">
        <v>68</v>
      </c>
      <c r="S92" s="4" t="s">
        <v>69</v>
      </c>
    </row>
    <row r="93" spans="1:19" x14ac:dyDescent="0.2">
      <c r="A93" s="4" t="s">
        <v>170</v>
      </c>
      <c r="B93" s="9">
        <v>46210</v>
      </c>
      <c r="C93" s="4" t="s">
        <v>75</v>
      </c>
      <c r="D93" s="4" t="s">
        <v>63</v>
      </c>
      <c r="E93" s="4">
        <v>1</v>
      </c>
      <c r="F93" s="4">
        <v>1844567</v>
      </c>
      <c r="G93" s="4">
        <v>100000</v>
      </c>
      <c r="H93" s="4">
        <v>0</v>
      </c>
      <c r="I93" s="4">
        <v>1944567</v>
      </c>
      <c r="J93" s="4">
        <v>892843</v>
      </c>
      <c r="K93" s="4">
        <v>193580</v>
      </c>
      <c r="L93" s="4">
        <v>141389</v>
      </c>
      <c r="M93" s="4">
        <v>1227812</v>
      </c>
      <c r="N93" s="4">
        <v>716755</v>
      </c>
      <c r="O93" s="4">
        <v>0.36859362521322231</v>
      </c>
      <c r="P93" s="4" t="s">
        <v>67</v>
      </c>
      <c r="Q93" s="4">
        <v>30</v>
      </c>
      <c r="R93" s="4" t="s">
        <v>68</v>
      </c>
      <c r="S93" s="4" t="s">
        <v>64</v>
      </c>
    </row>
    <row r="94" spans="1:19" x14ac:dyDescent="0.2">
      <c r="A94" s="4" t="s">
        <v>171</v>
      </c>
      <c r="B94" s="9">
        <v>46219</v>
      </c>
      <c r="C94" s="4" t="s">
        <v>79</v>
      </c>
      <c r="D94" s="4" t="s">
        <v>53</v>
      </c>
      <c r="E94" s="4">
        <v>1</v>
      </c>
      <c r="F94" s="4">
        <v>1180503</v>
      </c>
      <c r="G94" s="4">
        <v>75000</v>
      </c>
      <c r="H94" s="4">
        <v>0</v>
      </c>
      <c r="I94" s="4">
        <v>1255503</v>
      </c>
      <c r="J94" s="4">
        <v>602006</v>
      </c>
      <c r="K94" s="4">
        <v>136607</v>
      </c>
      <c r="L94" s="4">
        <v>105110</v>
      </c>
      <c r="M94" s="4">
        <v>843723</v>
      </c>
      <c r="N94" s="4">
        <v>411780</v>
      </c>
      <c r="O94" s="4">
        <v>0.32798010040597281</v>
      </c>
      <c r="P94" s="4" t="s">
        <v>67</v>
      </c>
      <c r="Q94" s="4">
        <v>15</v>
      </c>
      <c r="R94" s="4" t="s">
        <v>68</v>
      </c>
      <c r="S94" s="4" t="s">
        <v>60</v>
      </c>
    </row>
    <row r="95" spans="1:19" x14ac:dyDescent="0.2">
      <c r="A95" s="4" t="s">
        <v>172</v>
      </c>
      <c r="B95" s="9">
        <v>46208</v>
      </c>
      <c r="C95" s="4" t="s">
        <v>52</v>
      </c>
      <c r="D95" s="4" t="s">
        <v>59</v>
      </c>
      <c r="E95" s="4">
        <v>1</v>
      </c>
      <c r="F95" s="4">
        <v>1430947</v>
      </c>
      <c r="G95" s="4">
        <v>50000</v>
      </c>
      <c r="H95" s="4">
        <v>30000</v>
      </c>
      <c r="I95" s="4">
        <v>1510947</v>
      </c>
      <c r="J95" s="4">
        <v>732945</v>
      </c>
      <c r="K95" s="4">
        <v>137537</v>
      </c>
      <c r="L95" s="4">
        <v>101957</v>
      </c>
      <c r="M95" s="4">
        <v>972439</v>
      </c>
      <c r="N95" s="4">
        <v>538508</v>
      </c>
      <c r="O95" s="4">
        <v>0.35640429478995622</v>
      </c>
      <c r="P95" s="4" t="s">
        <v>76</v>
      </c>
      <c r="Q95" s="4">
        <v>90</v>
      </c>
      <c r="R95" s="4" t="s">
        <v>55</v>
      </c>
      <c r="S95" s="4" t="s">
        <v>69</v>
      </c>
    </row>
    <row r="96" spans="1:19" x14ac:dyDescent="0.2">
      <c r="A96" s="4" t="s">
        <v>173</v>
      </c>
      <c r="B96" s="9">
        <v>46266</v>
      </c>
      <c r="C96" s="4" t="s">
        <v>79</v>
      </c>
      <c r="D96" s="4" t="s">
        <v>63</v>
      </c>
      <c r="E96" s="4">
        <v>1</v>
      </c>
      <c r="F96" s="4">
        <v>1837635</v>
      </c>
      <c r="G96" s="4">
        <v>0</v>
      </c>
      <c r="H96" s="4">
        <v>15000</v>
      </c>
      <c r="I96" s="4">
        <v>1852635</v>
      </c>
      <c r="J96" s="4">
        <v>914420</v>
      </c>
      <c r="K96" s="4">
        <v>191553</v>
      </c>
      <c r="L96" s="4">
        <v>123413</v>
      </c>
      <c r="M96" s="4">
        <v>1229386</v>
      </c>
      <c r="N96" s="4">
        <v>623249</v>
      </c>
      <c r="O96" s="4">
        <v>0.33641219128430588</v>
      </c>
      <c r="P96" s="4" t="s">
        <v>89</v>
      </c>
      <c r="Q96" s="4">
        <v>45</v>
      </c>
      <c r="R96" s="4" t="s">
        <v>55</v>
      </c>
      <c r="S96" s="4" t="s">
        <v>69</v>
      </c>
    </row>
    <row r="97" spans="1:19" x14ac:dyDescent="0.2">
      <c r="A97" s="4" t="s">
        <v>174</v>
      </c>
      <c r="B97" s="9">
        <v>46259</v>
      </c>
      <c r="C97" s="4" t="s">
        <v>62</v>
      </c>
      <c r="D97" s="4" t="s">
        <v>59</v>
      </c>
      <c r="E97" s="4">
        <v>2</v>
      </c>
      <c r="F97" s="4">
        <v>1481650</v>
      </c>
      <c r="G97" s="4">
        <v>100000</v>
      </c>
      <c r="H97" s="4">
        <v>0</v>
      </c>
      <c r="I97" s="4">
        <v>3063300</v>
      </c>
      <c r="J97" s="4">
        <v>1583170</v>
      </c>
      <c r="K97" s="4">
        <v>309288</v>
      </c>
      <c r="L97" s="4">
        <v>227696</v>
      </c>
      <c r="M97" s="4">
        <v>2120154</v>
      </c>
      <c r="N97" s="4">
        <v>943146</v>
      </c>
      <c r="O97" s="4">
        <v>0.3078856135540104</v>
      </c>
      <c r="P97" s="4" t="s">
        <v>54</v>
      </c>
      <c r="Q97" s="4">
        <v>90</v>
      </c>
      <c r="R97" s="4" t="s">
        <v>55</v>
      </c>
      <c r="S97" s="4" t="s">
        <v>69</v>
      </c>
    </row>
    <row r="98" spans="1:19" x14ac:dyDescent="0.2">
      <c r="A98" s="4" t="s">
        <v>175</v>
      </c>
      <c r="B98" s="9">
        <v>46120</v>
      </c>
      <c r="C98" s="4" t="s">
        <v>58</v>
      </c>
      <c r="D98" s="4" t="s">
        <v>59</v>
      </c>
      <c r="E98" s="4">
        <v>1</v>
      </c>
      <c r="F98" s="4">
        <v>1465432</v>
      </c>
      <c r="G98" s="4">
        <v>25000</v>
      </c>
      <c r="H98" s="4">
        <v>50000</v>
      </c>
      <c r="I98" s="4">
        <v>1540432</v>
      </c>
      <c r="J98" s="4">
        <v>784058</v>
      </c>
      <c r="K98" s="4">
        <v>138285</v>
      </c>
      <c r="L98" s="4">
        <v>103390</v>
      </c>
      <c r="M98" s="4">
        <v>1025733</v>
      </c>
      <c r="N98" s="4">
        <v>514699</v>
      </c>
      <c r="O98" s="4">
        <v>0.33412640090571988</v>
      </c>
      <c r="P98" s="4" t="s">
        <v>54</v>
      </c>
      <c r="Q98" s="4">
        <v>15</v>
      </c>
      <c r="R98" s="4" t="s">
        <v>55</v>
      </c>
      <c r="S98" s="4" t="s">
        <v>60</v>
      </c>
    </row>
    <row r="99" spans="1:19" x14ac:dyDescent="0.2">
      <c r="A99" s="4" t="s">
        <v>176</v>
      </c>
      <c r="B99" s="9">
        <v>46275</v>
      </c>
      <c r="C99" s="4" t="s">
        <v>98</v>
      </c>
      <c r="D99" s="4" t="s">
        <v>53</v>
      </c>
      <c r="E99" s="4">
        <v>1</v>
      </c>
      <c r="F99" s="4">
        <v>1217121</v>
      </c>
      <c r="G99" s="4">
        <v>50000</v>
      </c>
      <c r="H99" s="4">
        <v>15000</v>
      </c>
      <c r="I99" s="4">
        <v>1282121</v>
      </c>
      <c r="J99" s="4">
        <v>617048</v>
      </c>
      <c r="K99" s="4">
        <v>121609</v>
      </c>
      <c r="L99" s="4">
        <v>93463</v>
      </c>
      <c r="M99" s="4">
        <v>832120</v>
      </c>
      <c r="N99" s="4">
        <v>450001</v>
      </c>
      <c r="O99" s="4">
        <v>0.35098169361550119</v>
      </c>
      <c r="P99" s="4" t="s">
        <v>73</v>
      </c>
      <c r="Q99" s="4">
        <v>75</v>
      </c>
      <c r="R99" s="4" t="s">
        <v>55</v>
      </c>
      <c r="S99" s="4" t="s">
        <v>56</v>
      </c>
    </row>
    <row r="100" spans="1:19" x14ac:dyDescent="0.2">
      <c r="A100" s="4" t="s">
        <v>177</v>
      </c>
      <c r="B100" s="9">
        <v>46126</v>
      </c>
      <c r="C100" s="4" t="s">
        <v>101</v>
      </c>
      <c r="D100" s="4" t="s">
        <v>59</v>
      </c>
      <c r="E100" s="4">
        <v>1</v>
      </c>
      <c r="F100" s="4">
        <v>1437096</v>
      </c>
      <c r="G100" s="4">
        <v>75000</v>
      </c>
      <c r="H100" s="4">
        <v>50000</v>
      </c>
      <c r="I100" s="4">
        <v>1562096</v>
      </c>
      <c r="J100" s="4">
        <v>748903</v>
      </c>
      <c r="K100" s="4">
        <v>135523</v>
      </c>
      <c r="L100" s="4">
        <v>115018</v>
      </c>
      <c r="M100" s="4">
        <v>999444</v>
      </c>
      <c r="N100" s="4">
        <v>562652</v>
      </c>
      <c r="O100" s="4">
        <v>0.36019041083262487</v>
      </c>
      <c r="P100" s="4" t="s">
        <v>67</v>
      </c>
      <c r="Q100" s="4">
        <v>45</v>
      </c>
      <c r="R100" s="4" t="s">
        <v>68</v>
      </c>
      <c r="S100" s="4" t="s">
        <v>56</v>
      </c>
    </row>
    <row r="101" spans="1:19" x14ac:dyDescent="0.2">
      <c r="A101" s="4" t="s">
        <v>178</v>
      </c>
      <c r="B101" s="9">
        <v>46201</v>
      </c>
      <c r="C101" s="4" t="s">
        <v>52</v>
      </c>
      <c r="D101" s="4" t="s">
        <v>19</v>
      </c>
      <c r="E101" s="4">
        <v>1</v>
      </c>
      <c r="F101" s="4">
        <v>2897861</v>
      </c>
      <c r="G101" s="4">
        <v>25000</v>
      </c>
      <c r="H101" s="4">
        <v>30000</v>
      </c>
      <c r="I101" s="4">
        <v>2952861</v>
      </c>
      <c r="J101" s="4">
        <v>1578712</v>
      </c>
      <c r="K101" s="4">
        <v>257933</v>
      </c>
      <c r="L101" s="4">
        <v>174213</v>
      </c>
      <c r="M101" s="4">
        <v>2010858</v>
      </c>
      <c r="N101" s="4">
        <v>942003</v>
      </c>
      <c r="O101" s="4">
        <v>0.31901366166575401</v>
      </c>
      <c r="P101" s="4" t="s">
        <v>76</v>
      </c>
      <c r="Q101" s="4">
        <v>15</v>
      </c>
      <c r="R101" s="4" t="s">
        <v>55</v>
      </c>
      <c r="S101" s="4" t="s">
        <v>77</v>
      </c>
    </row>
    <row r="102" spans="1:19" x14ac:dyDescent="0.2">
      <c r="A102" s="4" t="s">
        <v>179</v>
      </c>
      <c r="B102" s="9">
        <v>46190</v>
      </c>
      <c r="C102" s="4" t="s">
        <v>101</v>
      </c>
      <c r="D102" s="4" t="s">
        <v>59</v>
      </c>
      <c r="E102" s="4">
        <v>1</v>
      </c>
      <c r="F102" s="4">
        <v>1465775</v>
      </c>
      <c r="G102" s="4">
        <v>75000</v>
      </c>
      <c r="H102" s="4">
        <v>0</v>
      </c>
      <c r="I102" s="4">
        <v>1540775</v>
      </c>
      <c r="J102" s="4">
        <v>694301</v>
      </c>
      <c r="K102" s="4">
        <v>130199</v>
      </c>
      <c r="L102" s="4">
        <v>111036</v>
      </c>
      <c r="M102" s="4">
        <v>935536</v>
      </c>
      <c r="N102" s="4">
        <v>605239</v>
      </c>
      <c r="O102" s="4">
        <v>0.39281465496259999</v>
      </c>
      <c r="P102" s="4" t="s">
        <v>67</v>
      </c>
      <c r="Q102" s="4">
        <v>75</v>
      </c>
      <c r="R102" s="4" t="s">
        <v>68</v>
      </c>
      <c r="S102" s="4" t="s">
        <v>87</v>
      </c>
    </row>
    <row r="103" spans="1:19" x14ac:dyDescent="0.2">
      <c r="A103" s="4" t="s">
        <v>180</v>
      </c>
      <c r="B103" s="9">
        <v>46284</v>
      </c>
      <c r="C103" s="4" t="s">
        <v>93</v>
      </c>
      <c r="D103" s="4" t="s">
        <v>63</v>
      </c>
      <c r="E103" s="4">
        <v>1</v>
      </c>
      <c r="F103" s="4">
        <v>1909164</v>
      </c>
      <c r="G103" s="4">
        <v>50000</v>
      </c>
      <c r="H103" s="4">
        <v>50000</v>
      </c>
      <c r="I103" s="4">
        <v>2009164</v>
      </c>
      <c r="J103" s="4">
        <v>882037</v>
      </c>
      <c r="K103" s="4">
        <v>162843</v>
      </c>
      <c r="L103" s="4">
        <v>143345</v>
      </c>
      <c r="M103" s="4">
        <v>1188225</v>
      </c>
      <c r="N103" s="4">
        <v>820939</v>
      </c>
      <c r="O103" s="4">
        <v>0.40859730713869052</v>
      </c>
      <c r="P103" s="4" t="s">
        <v>67</v>
      </c>
      <c r="Q103" s="4">
        <v>60</v>
      </c>
      <c r="R103" s="4" t="s">
        <v>68</v>
      </c>
      <c r="S103" s="4" t="s">
        <v>69</v>
      </c>
    </row>
    <row r="104" spans="1:19" x14ac:dyDescent="0.2">
      <c r="A104" s="4" t="s">
        <v>181</v>
      </c>
      <c r="B104" s="9">
        <v>46142</v>
      </c>
      <c r="C104" s="4" t="s">
        <v>98</v>
      </c>
      <c r="D104" s="4" t="s">
        <v>19</v>
      </c>
      <c r="E104" s="4">
        <v>1</v>
      </c>
      <c r="F104" s="4">
        <v>2759309</v>
      </c>
      <c r="G104" s="4">
        <v>50000</v>
      </c>
      <c r="H104" s="4">
        <v>0</v>
      </c>
      <c r="I104" s="4">
        <v>2809309</v>
      </c>
      <c r="J104" s="4">
        <v>1642001</v>
      </c>
      <c r="K104" s="4">
        <v>263632</v>
      </c>
      <c r="L104" s="4">
        <v>194948</v>
      </c>
      <c r="M104" s="4">
        <v>2100581</v>
      </c>
      <c r="N104" s="4">
        <v>708728</v>
      </c>
      <c r="O104" s="4">
        <v>0.25227840725245959</v>
      </c>
      <c r="P104" s="4" t="s">
        <v>67</v>
      </c>
      <c r="Q104" s="4">
        <v>15</v>
      </c>
      <c r="R104" s="4" t="s">
        <v>68</v>
      </c>
      <c r="S104" s="4" t="s">
        <v>64</v>
      </c>
    </row>
    <row r="105" spans="1:19" x14ac:dyDescent="0.2">
      <c r="A105" s="4" t="s">
        <v>182</v>
      </c>
      <c r="B105" s="9">
        <v>46247</v>
      </c>
      <c r="C105" s="4" t="s">
        <v>83</v>
      </c>
      <c r="D105" s="4" t="s">
        <v>53</v>
      </c>
      <c r="E105" s="4">
        <v>1</v>
      </c>
      <c r="F105" s="4">
        <v>1180126</v>
      </c>
      <c r="G105" s="4">
        <v>100000</v>
      </c>
      <c r="H105" s="4">
        <v>0</v>
      </c>
      <c r="I105" s="4">
        <v>1280126</v>
      </c>
      <c r="J105" s="4">
        <v>612499</v>
      </c>
      <c r="K105" s="4">
        <v>117992</v>
      </c>
      <c r="L105" s="4">
        <v>93698</v>
      </c>
      <c r="M105" s="4">
        <v>824189</v>
      </c>
      <c r="N105" s="4">
        <v>455937</v>
      </c>
      <c r="O105" s="4">
        <v>0.35616572118682072</v>
      </c>
      <c r="P105" s="4" t="s">
        <v>54</v>
      </c>
      <c r="Q105" s="4">
        <v>30</v>
      </c>
      <c r="R105" s="4" t="s">
        <v>55</v>
      </c>
      <c r="S105" s="4" t="s">
        <v>69</v>
      </c>
    </row>
    <row r="106" spans="1:19" x14ac:dyDescent="0.2">
      <c r="A106" s="4" t="s">
        <v>183</v>
      </c>
      <c r="B106" s="9">
        <v>46278</v>
      </c>
      <c r="C106" s="4" t="s">
        <v>75</v>
      </c>
      <c r="D106" s="4" t="s">
        <v>59</v>
      </c>
      <c r="E106" s="4">
        <v>1</v>
      </c>
      <c r="F106" s="4">
        <v>1344703</v>
      </c>
      <c r="G106" s="4">
        <v>0</v>
      </c>
      <c r="H106" s="4">
        <v>0</v>
      </c>
      <c r="I106" s="4">
        <v>1344703</v>
      </c>
      <c r="J106" s="4">
        <v>681212</v>
      </c>
      <c r="K106" s="4">
        <v>147083</v>
      </c>
      <c r="L106" s="4">
        <v>117397</v>
      </c>
      <c r="M106" s="4">
        <v>945692</v>
      </c>
      <c r="N106" s="4">
        <v>399011</v>
      </c>
      <c r="O106" s="4">
        <v>0.29672797636355391</v>
      </c>
      <c r="P106" s="4" t="s">
        <v>76</v>
      </c>
      <c r="Q106" s="4">
        <v>90</v>
      </c>
      <c r="R106" s="4" t="s">
        <v>55</v>
      </c>
      <c r="S106" s="4" t="s">
        <v>64</v>
      </c>
    </row>
    <row r="107" spans="1:19" x14ac:dyDescent="0.2">
      <c r="A107" s="4" t="s">
        <v>184</v>
      </c>
      <c r="B107" s="9">
        <v>46257</v>
      </c>
      <c r="C107" s="4" t="s">
        <v>117</v>
      </c>
      <c r="D107" s="4" t="s">
        <v>19</v>
      </c>
      <c r="E107" s="4">
        <v>1</v>
      </c>
      <c r="F107" s="4">
        <v>2977762</v>
      </c>
      <c r="G107" s="4">
        <v>50000</v>
      </c>
      <c r="H107" s="4">
        <v>0</v>
      </c>
      <c r="I107" s="4">
        <v>3027762</v>
      </c>
      <c r="J107" s="4">
        <v>1593869</v>
      </c>
      <c r="K107" s="4">
        <v>286658</v>
      </c>
      <c r="L107" s="4">
        <v>174799</v>
      </c>
      <c r="M107" s="4">
        <v>2055326</v>
      </c>
      <c r="N107" s="4">
        <v>972436</v>
      </c>
      <c r="O107" s="4">
        <v>0.32117319657225368</v>
      </c>
      <c r="P107" s="4" t="s">
        <v>67</v>
      </c>
      <c r="Q107" s="4">
        <v>60</v>
      </c>
      <c r="R107" s="4" t="s">
        <v>68</v>
      </c>
      <c r="S107" s="4" t="s">
        <v>69</v>
      </c>
    </row>
    <row r="108" spans="1:19" x14ac:dyDescent="0.2">
      <c r="A108" s="4" t="s">
        <v>185</v>
      </c>
      <c r="B108" s="9">
        <v>46264</v>
      </c>
      <c r="C108" s="4" t="s">
        <v>98</v>
      </c>
      <c r="D108" s="4" t="s">
        <v>53</v>
      </c>
      <c r="E108" s="4">
        <v>1</v>
      </c>
      <c r="F108" s="4">
        <v>1140464</v>
      </c>
      <c r="G108" s="4">
        <v>50000</v>
      </c>
      <c r="H108" s="4">
        <v>0</v>
      </c>
      <c r="I108" s="4">
        <v>1190464</v>
      </c>
      <c r="J108" s="4">
        <v>627656</v>
      </c>
      <c r="K108" s="4">
        <v>109128</v>
      </c>
      <c r="L108" s="4">
        <v>98112</v>
      </c>
      <c r="M108" s="4">
        <v>834896</v>
      </c>
      <c r="N108" s="4">
        <v>355568</v>
      </c>
      <c r="O108" s="4">
        <v>0.2986801784850277</v>
      </c>
      <c r="P108" s="4" t="s">
        <v>54</v>
      </c>
      <c r="Q108" s="4">
        <v>15</v>
      </c>
      <c r="R108" s="4" t="s">
        <v>55</v>
      </c>
      <c r="S108" s="4" t="s">
        <v>87</v>
      </c>
    </row>
    <row r="109" spans="1:19" x14ac:dyDescent="0.2">
      <c r="A109" s="4" t="s">
        <v>186</v>
      </c>
      <c r="B109" s="9">
        <v>46242</v>
      </c>
      <c r="C109" s="4" t="s">
        <v>52</v>
      </c>
      <c r="D109" s="4" t="s">
        <v>19</v>
      </c>
      <c r="E109" s="4">
        <v>1</v>
      </c>
      <c r="F109" s="4">
        <v>2849292</v>
      </c>
      <c r="G109" s="4">
        <v>100000</v>
      </c>
      <c r="H109" s="4">
        <v>0</v>
      </c>
      <c r="I109" s="4">
        <v>2949292</v>
      </c>
      <c r="J109" s="4">
        <v>1639112</v>
      </c>
      <c r="K109" s="4">
        <v>280992</v>
      </c>
      <c r="L109" s="4">
        <v>179809</v>
      </c>
      <c r="M109" s="4">
        <v>2099913</v>
      </c>
      <c r="N109" s="4">
        <v>849379</v>
      </c>
      <c r="O109" s="4">
        <v>0.28799420335456782</v>
      </c>
      <c r="P109" s="4" t="s">
        <v>67</v>
      </c>
      <c r="Q109" s="4">
        <v>60</v>
      </c>
      <c r="R109" s="4" t="s">
        <v>68</v>
      </c>
      <c r="S109" s="4" t="s">
        <v>64</v>
      </c>
    </row>
    <row r="110" spans="1:19" x14ac:dyDescent="0.2">
      <c r="A110" s="4" t="s">
        <v>187</v>
      </c>
      <c r="B110" s="9">
        <v>46139</v>
      </c>
      <c r="C110" s="4" t="s">
        <v>83</v>
      </c>
      <c r="D110" s="4" t="s">
        <v>63</v>
      </c>
      <c r="E110" s="4">
        <v>3</v>
      </c>
      <c r="F110" s="4">
        <v>1713250</v>
      </c>
      <c r="G110" s="4">
        <v>75000</v>
      </c>
      <c r="H110" s="4">
        <v>50000</v>
      </c>
      <c r="I110" s="4">
        <v>5264750</v>
      </c>
      <c r="J110" s="4">
        <v>2990292</v>
      </c>
      <c r="K110" s="4">
        <v>491283</v>
      </c>
      <c r="L110" s="4">
        <v>411711</v>
      </c>
      <c r="M110" s="4">
        <v>3893286</v>
      </c>
      <c r="N110" s="4">
        <v>1371464</v>
      </c>
      <c r="O110" s="4">
        <v>0.26049935894391951</v>
      </c>
      <c r="P110" s="4" t="s">
        <v>54</v>
      </c>
      <c r="Q110" s="4">
        <v>30</v>
      </c>
      <c r="R110" s="4" t="s">
        <v>55</v>
      </c>
      <c r="S110" s="4" t="s">
        <v>69</v>
      </c>
    </row>
    <row r="111" spans="1:19" x14ac:dyDescent="0.2">
      <c r="A111" s="4" t="s">
        <v>188</v>
      </c>
      <c r="B111" s="9">
        <v>46185</v>
      </c>
      <c r="C111" s="4" t="s">
        <v>117</v>
      </c>
      <c r="D111" s="4" t="s">
        <v>19</v>
      </c>
      <c r="E111" s="4">
        <v>1</v>
      </c>
      <c r="F111" s="4">
        <v>2764639</v>
      </c>
      <c r="G111" s="4">
        <v>0</v>
      </c>
      <c r="H111" s="4">
        <v>15000</v>
      </c>
      <c r="I111" s="4">
        <v>2779639</v>
      </c>
      <c r="J111" s="4">
        <v>1580157</v>
      </c>
      <c r="K111" s="4">
        <v>274326</v>
      </c>
      <c r="L111" s="4">
        <v>187633</v>
      </c>
      <c r="M111" s="4">
        <v>2042116</v>
      </c>
      <c r="N111" s="4">
        <v>737523</v>
      </c>
      <c r="O111" s="4">
        <v>0.26533049795315139</v>
      </c>
      <c r="P111" s="4" t="s">
        <v>67</v>
      </c>
      <c r="Q111" s="4">
        <v>90</v>
      </c>
      <c r="R111" s="4" t="s">
        <v>68</v>
      </c>
      <c r="S111" s="4" t="s">
        <v>60</v>
      </c>
    </row>
    <row r="112" spans="1:19" x14ac:dyDescent="0.2">
      <c r="A112" s="4" t="s">
        <v>189</v>
      </c>
      <c r="B112" s="9">
        <v>46281</v>
      </c>
      <c r="C112" s="4" t="s">
        <v>117</v>
      </c>
      <c r="D112" s="4" t="s">
        <v>59</v>
      </c>
      <c r="E112" s="4">
        <v>1</v>
      </c>
      <c r="F112" s="4">
        <v>1430216</v>
      </c>
      <c r="G112" s="4">
        <v>75000</v>
      </c>
      <c r="H112" s="4">
        <v>0</v>
      </c>
      <c r="I112" s="4">
        <v>1505216</v>
      </c>
      <c r="J112" s="4">
        <v>673282</v>
      </c>
      <c r="K112" s="4">
        <v>138243</v>
      </c>
      <c r="L112" s="4">
        <v>122418</v>
      </c>
      <c r="M112" s="4">
        <v>933943</v>
      </c>
      <c r="N112" s="4">
        <v>571273</v>
      </c>
      <c r="O112" s="4">
        <v>0.3795289181087631</v>
      </c>
      <c r="P112" s="4" t="s">
        <v>54</v>
      </c>
      <c r="Q112" s="4">
        <v>15</v>
      </c>
      <c r="R112" s="4" t="s">
        <v>55</v>
      </c>
      <c r="S112" s="4" t="s">
        <v>87</v>
      </c>
    </row>
    <row r="113" spans="1:19" x14ac:dyDescent="0.2">
      <c r="A113" s="4" t="s">
        <v>190</v>
      </c>
      <c r="B113" s="9">
        <v>46209</v>
      </c>
      <c r="C113" s="4" t="s">
        <v>101</v>
      </c>
      <c r="D113" s="4" t="s">
        <v>63</v>
      </c>
      <c r="E113" s="4">
        <v>2</v>
      </c>
      <c r="F113" s="4">
        <v>1860869</v>
      </c>
      <c r="G113" s="4">
        <v>100000</v>
      </c>
      <c r="H113" s="4">
        <v>0</v>
      </c>
      <c r="I113" s="4">
        <v>3821738</v>
      </c>
      <c r="J113" s="4">
        <v>2063004</v>
      </c>
      <c r="K113" s="4">
        <v>390488</v>
      </c>
      <c r="L113" s="4">
        <v>273204</v>
      </c>
      <c r="M113" s="4">
        <v>2726696</v>
      </c>
      <c r="N113" s="4">
        <v>1095042</v>
      </c>
      <c r="O113" s="4">
        <v>0.28652984584500563</v>
      </c>
      <c r="P113" s="4" t="s">
        <v>54</v>
      </c>
      <c r="Q113" s="4">
        <v>60</v>
      </c>
      <c r="R113" s="4" t="s">
        <v>55</v>
      </c>
      <c r="S113" s="4" t="s">
        <v>69</v>
      </c>
    </row>
    <row r="114" spans="1:19" x14ac:dyDescent="0.2">
      <c r="A114" s="4" t="s">
        <v>191</v>
      </c>
      <c r="B114" s="9">
        <v>46117</v>
      </c>
      <c r="C114" s="4" t="s">
        <v>101</v>
      </c>
      <c r="D114" s="4" t="s">
        <v>63</v>
      </c>
      <c r="E114" s="4">
        <v>1</v>
      </c>
      <c r="F114" s="4">
        <v>1931694</v>
      </c>
      <c r="G114" s="4">
        <v>25000</v>
      </c>
      <c r="H114" s="4">
        <v>0</v>
      </c>
      <c r="I114" s="4">
        <v>1956694</v>
      </c>
      <c r="J114" s="4">
        <v>938929</v>
      </c>
      <c r="K114" s="4">
        <v>196477</v>
      </c>
      <c r="L114" s="4">
        <v>122491</v>
      </c>
      <c r="M114" s="4">
        <v>1257897</v>
      </c>
      <c r="N114" s="4">
        <v>698797</v>
      </c>
      <c r="O114" s="4">
        <v>0.35713146766944648</v>
      </c>
      <c r="P114" s="4" t="s">
        <v>67</v>
      </c>
      <c r="Q114" s="4">
        <v>15</v>
      </c>
      <c r="R114" s="4" t="s">
        <v>68</v>
      </c>
      <c r="S114" s="4" t="s">
        <v>60</v>
      </c>
    </row>
    <row r="115" spans="1:19" x14ac:dyDescent="0.2">
      <c r="A115" s="4" t="s">
        <v>192</v>
      </c>
      <c r="B115" s="9">
        <v>46247</v>
      </c>
      <c r="C115" s="4" t="s">
        <v>62</v>
      </c>
      <c r="D115" s="4" t="s">
        <v>53</v>
      </c>
      <c r="E115" s="4">
        <v>1</v>
      </c>
      <c r="F115" s="4">
        <v>1275233</v>
      </c>
      <c r="G115" s="4">
        <v>25000</v>
      </c>
      <c r="H115" s="4">
        <v>50000</v>
      </c>
      <c r="I115" s="4">
        <v>1350233</v>
      </c>
      <c r="J115" s="4">
        <v>647035</v>
      </c>
      <c r="K115" s="4">
        <v>125917</v>
      </c>
      <c r="L115" s="4">
        <v>93393</v>
      </c>
      <c r="M115" s="4">
        <v>866345</v>
      </c>
      <c r="N115" s="4">
        <v>483888</v>
      </c>
      <c r="O115" s="4">
        <v>0.35837370290905352</v>
      </c>
      <c r="P115" s="4" t="s">
        <v>89</v>
      </c>
      <c r="Q115" s="4">
        <v>30</v>
      </c>
      <c r="R115" s="4" t="s">
        <v>55</v>
      </c>
      <c r="S115" s="4" t="s">
        <v>64</v>
      </c>
    </row>
    <row r="116" spans="1:19" x14ac:dyDescent="0.2">
      <c r="A116" s="4" t="s">
        <v>193</v>
      </c>
      <c r="B116" s="9">
        <v>46124</v>
      </c>
      <c r="C116" s="4" t="s">
        <v>75</v>
      </c>
      <c r="D116" s="4" t="s">
        <v>19</v>
      </c>
      <c r="E116" s="4">
        <v>1</v>
      </c>
      <c r="F116" s="4">
        <v>2914077</v>
      </c>
      <c r="G116" s="4">
        <v>75000</v>
      </c>
      <c r="H116" s="4">
        <v>0</v>
      </c>
      <c r="I116" s="4">
        <v>2989077</v>
      </c>
      <c r="J116" s="4">
        <v>1693154</v>
      </c>
      <c r="K116" s="4">
        <v>263162</v>
      </c>
      <c r="L116" s="4">
        <v>191794</v>
      </c>
      <c r="M116" s="4">
        <v>2148110</v>
      </c>
      <c r="N116" s="4">
        <v>840967</v>
      </c>
      <c r="O116" s="4">
        <v>0.2813467167289434</v>
      </c>
      <c r="P116" s="4" t="s">
        <v>54</v>
      </c>
      <c r="Q116" s="4">
        <v>45</v>
      </c>
      <c r="R116" s="4" t="s">
        <v>55</v>
      </c>
      <c r="S116" s="4" t="s">
        <v>77</v>
      </c>
    </row>
    <row r="117" spans="1:19" x14ac:dyDescent="0.2">
      <c r="A117" s="4" t="s">
        <v>194</v>
      </c>
      <c r="B117" s="9">
        <v>46207</v>
      </c>
      <c r="C117" s="4" t="s">
        <v>75</v>
      </c>
      <c r="D117" s="4" t="s">
        <v>19</v>
      </c>
      <c r="E117" s="4">
        <v>1</v>
      </c>
      <c r="F117" s="4">
        <v>2742454</v>
      </c>
      <c r="G117" s="4">
        <v>25000</v>
      </c>
      <c r="H117" s="4">
        <v>50000</v>
      </c>
      <c r="I117" s="4">
        <v>2817454</v>
      </c>
      <c r="J117" s="4">
        <v>1514489</v>
      </c>
      <c r="K117" s="4">
        <v>257966</v>
      </c>
      <c r="L117" s="4">
        <v>200264</v>
      </c>
      <c r="M117" s="4">
        <v>1972719</v>
      </c>
      <c r="N117" s="4">
        <v>844735</v>
      </c>
      <c r="O117" s="4">
        <v>0.2998221088968977</v>
      </c>
      <c r="P117" s="4" t="s">
        <v>67</v>
      </c>
      <c r="Q117" s="4">
        <v>45</v>
      </c>
      <c r="R117" s="4" t="s">
        <v>68</v>
      </c>
      <c r="S117" s="4" t="s">
        <v>69</v>
      </c>
    </row>
    <row r="118" spans="1:19" x14ac:dyDescent="0.2">
      <c r="A118" s="4" t="s">
        <v>195</v>
      </c>
      <c r="B118" s="9">
        <v>46254</v>
      </c>
      <c r="C118" s="4" t="s">
        <v>66</v>
      </c>
      <c r="D118" s="4" t="s">
        <v>53</v>
      </c>
      <c r="E118" s="4">
        <v>1</v>
      </c>
      <c r="F118" s="4">
        <v>1214672</v>
      </c>
      <c r="G118" s="4">
        <v>75000</v>
      </c>
      <c r="H118" s="4">
        <v>50000</v>
      </c>
      <c r="I118" s="4">
        <v>1339672</v>
      </c>
      <c r="J118" s="4">
        <v>585860</v>
      </c>
      <c r="K118" s="4">
        <v>110516</v>
      </c>
      <c r="L118" s="4">
        <v>93526</v>
      </c>
      <c r="M118" s="4">
        <v>789902</v>
      </c>
      <c r="N118" s="4">
        <v>549770</v>
      </c>
      <c r="O118" s="4">
        <v>0.41037656978723153</v>
      </c>
      <c r="P118" s="4" t="s">
        <v>67</v>
      </c>
      <c r="Q118" s="4">
        <v>60</v>
      </c>
      <c r="R118" s="4" t="s">
        <v>68</v>
      </c>
      <c r="S118" s="4" t="s">
        <v>64</v>
      </c>
    </row>
    <row r="119" spans="1:19" x14ac:dyDescent="0.2">
      <c r="A119" s="4" t="s">
        <v>196</v>
      </c>
      <c r="B119" s="9">
        <v>46202</v>
      </c>
      <c r="C119" s="4" t="s">
        <v>71</v>
      </c>
      <c r="D119" s="4" t="s">
        <v>53</v>
      </c>
      <c r="E119" s="4">
        <v>1</v>
      </c>
      <c r="F119" s="4">
        <v>1194604</v>
      </c>
      <c r="G119" s="4">
        <v>25000</v>
      </c>
      <c r="H119" s="4">
        <v>0</v>
      </c>
      <c r="I119" s="4">
        <v>1219604</v>
      </c>
      <c r="J119" s="4">
        <v>616771</v>
      </c>
      <c r="K119" s="4">
        <v>119584</v>
      </c>
      <c r="L119" s="4">
        <v>91795</v>
      </c>
      <c r="M119" s="4">
        <v>828150</v>
      </c>
      <c r="N119" s="4">
        <v>391454</v>
      </c>
      <c r="O119" s="4">
        <v>0.32096811752011312</v>
      </c>
      <c r="P119" s="4" t="s">
        <v>67</v>
      </c>
      <c r="Q119" s="4">
        <v>15</v>
      </c>
      <c r="R119" s="4" t="s">
        <v>55</v>
      </c>
      <c r="S119" s="4" t="s">
        <v>69</v>
      </c>
    </row>
    <row r="120" spans="1:19" x14ac:dyDescent="0.2">
      <c r="A120" s="4" t="s">
        <v>197</v>
      </c>
      <c r="B120" s="9">
        <v>46150</v>
      </c>
      <c r="C120" s="4" t="s">
        <v>52</v>
      </c>
      <c r="D120" s="4" t="s">
        <v>59</v>
      </c>
      <c r="E120" s="4">
        <v>1</v>
      </c>
      <c r="F120" s="4">
        <v>1495809</v>
      </c>
      <c r="G120" s="4">
        <v>75000</v>
      </c>
      <c r="H120" s="4">
        <v>30000</v>
      </c>
      <c r="I120" s="4">
        <v>1600809</v>
      </c>
      <c r="J120" s="4">
        <v>720288</v>
      </c>
      <c r="K120" s="4">
        <v>155088</v>
      </c>
      <c r="L120" s="4">
        <v>117363</v>
      </c>
      <c r="M120" s="4">
        <v>992739</v>
      </c>
      <c r="N120" s="4">
        <v>608070</v>
      </c>
      <c r="O120" s="4">
        <v>0.37985168749051262</v>
      </c>
      <c r="P120" s="4" t="s">
        <v>54</v>
      </c>
      <c r="Q120" s="4">
        <v>15</v>
      </c>
      <c r="R120" s="4" t="s">
        <v>55</v>
      </c>
      <c r="S120" s="4" t="s">
        <v>69</v>
      </c>
    </row>
    <row r="121" spans="1:19" x14ac:dyDescent="0.2">
      <c r="A121" s="4" t="s">
        <v>198</v>
      </c>
      <c r="B121" s="9">
        <v>46168</v>
      </c>
      <c r="C121" s="4" t="s">
        <v>98</v>
      </c>
      <c r="D121" s="4" t="s">
        <v>59</v>
      </c>
      <c r="E121" s="4">
        <v>1</v>
      </c>
      <c r="F121" s="4">
        <v>1458538</v>
      </c>
      <c r="G121" s="4">
        <v>50000</v>
      </c>
      <c r="H121" s="4">
        <v>0</v>
      </c>
      <c r="I121" s="4">
        <v>1508538</v>
      </c>
      <c r="J121" s="4">
        <v>728143</v>
      </c>
      <c r="K121" s="4">
        <v>129891</v>
      </c>
      <c r="L121" s="4">
        <v>105972</v>
      </c>
      <c r="M121" s="4">
        <v>964006</v>
      </c>
      <c r="N121" s="4">
        <v>544532</v>
      </c>
      <c r="O121" s="4">
        <v>0.36096671081537218</v>
      </c>
      <c r="P121" s="4" t="s">
        <v>67</v>
      </c>
      <c r="Q121" s="4">
        <v>60</v>
      </c>
      <c r="R121" s="4" t="s">
        <v>68</v>
      </c>
      <c r="S121" s="4" t="s">
        <v>64</v>
      </c>
    </row>
    <row r="122" spans="1:19" x14ac:dyDescent="0.2">
      <c r="A122" s="4" t="s">
        <v>199</v>
      </c>
      <c r="B122" s="9">
        <v>46129</v>
      </c>
      <c r="C122" s="4" t="s">
        <v>98</v>
      </c>
      <c r="D122" s="4" t="s">
        <v>53</v>
      </c>
      <c r="E122" s="4">
        <v>2</v>
      </c>
      <c r="F122" s="4">
        <v>1211971</v>
      </c>
      <c r="G122" s="4">
        <v>25000</v>
      </c>
      <c r="H122" s="4">
        <v>15000</v>
      </c>
      <c r="I122" s="4">
        <v>2463942</v>
      </c>
      <c r="J122" s="4">
        <v>1273740</v>
      </c>
      <c r="K122" s="4">
        <v>253916</v>
      </c>
      <c r="L122" s="4">
        <v>205302</v>
      </c>
      <c r="M122" s="4">
        <v>1732958</v>
      </c>
      <c r="N122" s="4">
        <v>730984</v>
      </c>
      <c r="O122" s="4">
        <v>0.29667256777959872</v>
      </c>
      <c r="P122" s="4" t="s">
        <v>67</v>
      </c>
      <c r="Q122" s="4">
        <v>75</v>
      </c>
      <c r="R122" s="4" t="s">
        <v>68</v>
      </c>
      <c r="S122" s="4" t="s">
        <v>64</v>
      </c>
    </row>
    <row r="123" spans="1:19" x14ac:dyDescent="0.2">
      <c r="A123" s="4" t="s">
        <v>200</v>
      </c>
      <c r="B123" s="9">
        <v>46160</v>
      </c>
      <c r="C123" s="4" t="s">
        <v>93</v>
      </c>
      <c r="D123" s="4" t="s">
        <v>53</v>
      </c>
      <c r="E123" s="4">
        <v>1</v>
      </c>
      <c r="F123" s="4">
        <v>1188581</v>
      </c>
      <c r="G123" s="4">
        <v>100000</v>
      </c>
      <c r="H123" s="4">
        <v>50000</v>
      </c>
      <c r="I123" s="4">
        <v>1338581</v>
      </c>
      <c r="J123" s="4">
        <v>688622</v>
      </c>
      <c r="K123" s="4">
        <v>124322</v>
      </c>
      <c r="L123" s="4">
        <v>107301</v>
      </c>
      <c r="M123" s="4">
        <v>920245</v>
      </c>
      <c r="N123" s="4">
        <v>418336</v>
      </c>
      <c r="O123" s="4">
        <v>0.31252199157167182</v>
      </c>
      <c r="P123" s="4" t="s">
        <v>67</v>
      </c>
      <c r="Q123" s="4">
        <v>60</v>
      </c>
      <c r="R123" s="4" t="s">
        <v>68</v>
      </c>
      <c r="S123" s="4" t="s">
        <v>69</v>
      </c>
    </row>
    <row r="124" spans="1:19" x14ac:dyDescent="0.2">
      <c r="A124" s="4" t="s">
        <v>201</v>
      </c>
      <c r="B124" s="9">
        <v>46177</v>
      </c>
      <c r="C124" s="4" t="s">
        <v>71</v>
      </c>
      <c r="D124" s="4" t="s">
        <v>53</v>
      </c>
      <c r="E124" s="4">
        <v>1</v>
      </c>
      <c r="F124" s="4">
        <v>1139350</v>
      </c>
      <c r="G124" s="4">
        <v>100000</v>
      </c>
      <c r="H124" s="4">
        <v>15000</v>
      </c>
      <c r="I124" s="4">
        <v>1254350</v>
      </c>
      <c r="J124" s="4">
        <v>600299</v>
      </c>
      <c r="K124" s="4">
        <v>127713</v>
      </c>
      <c r="L124" s="4">
        <v>92280</v>
      </c>
      <c r="M124" s="4">
        <v>820292</v>
      </c>
      <c r="N124" s="4">
        <v>434058</v>
      </c>
      <c r="O124" s="4">
        <v>0.34604217323713482</v>
      </c>
      <c r="P124" s="4" t="s">
        <v>67</v>
      </c>
      <c r="Q124" s="4">
        <v>45</v>
      </c>
      <c r="R124" s="4" t="s">
        <v>68</v>
      </c>
      <c r="S124" s="4" t="s">
        <v>77</v>
      </c>
    </row>
    <row r="125" spans="1:19" x14ac:dyDescent="0.2">
      <c r="A125" s="4" t="s">
        <v>202</v>
      </c>
      <c r="B125" s="9">
        <v>46288</v>
      </c>
      <c r="C125" s="4" t="s">
        <v>52</v>
      </c>
      <c r="D125" s="4" t="s">
        <v>19</v>
      </c>
      <c r="E125" s="4">
        <v>3</v>
      </c>
      <c r="F125" s="4">
        <v>2819584</v>
      </c>
      <c r="G125" s="4">
        <v>75000</v>
      </c>
      <c r="H125" s="4">
        <v>0</v>
      </c>
      <c r="I125" s="4">
        <v>8533752</v>
      </c>
      <c r="J125" s="4">
        <v>4361436</v>
      </c>
      <c r="K125" s="4">
        <v>700284</v>
      </c>
      <c r="L125" s="4">
        <v>571065</v>
      </c>
      <c r="M125" s="4">
        <v>5632785</v>
      </c>
      <c r="N125" s="4">
        <v>2900967</v>
      </c>
      <c r="O125" s="4">
        <v>0.33994039198701809</v>
      </c>
      <c r="P125" s="4" t="s">
        <v>67</v>
      </c>
      <c r="Q125" s="4">
        <v>15</v>
      </c>
      <c r="R125" s="4" t="s">
        <v>55</v>
      </c>
      <c r="S125" s="4" t="s">
        <v>69</v>
      </c>
    </row>
    <row r="126" spans="1:19" x14ac:dyDescent="0.2">
      <c r="A126" s="4" t="s">
        <v>203</v>
      </c>
      <c r="B126" s="9">
        <v>46192</v>
      </c>
      <c r="C126" s="4" t="s">
        <v>117</v>
      </c>
      <c r="D126" s="4" t="s">
        <v>19</v>
      </c>
      <c r="E126" s="4">
        <v>3</v>
      </c>
      <c r="F126" s="4">
        <v>2844868</v>
      </c>
      <c r="G126" s="4">
        <v>50000</v>
      </c>
      <c r="H126" s="4">
        <v>0</v>
      </c>
      <c r="I126" s="4">
        <v>8584604</v>
      </c>
      <c r="J126" s="4">
        <v>4426221</v>
      </c>
      <c r="K126" s="4">
        <v>816240</v>
      </c>
      <c r="L126" s="4">
        <v>508701</v>
      </c>
      <c r="M126" s="4">
        <v>5751162</v>
      </c>
      <c r="N126" s="4">
        <v>2833442</v>
      </c>
      <c r="O126" s="4">
        <v>0.33006088574382703</v>
      </c>
      <c r="P126" s="4" t="s">
        <v>76</v>
      </c>
      <c r="Q126" s="4">
        <v>45</v>
      </c>
      <c r="R126" s="4" t="s">
        <v>55</v>
      </c>
      <c r="S126" s="4" t="s">
        <v>56</v>
      </c>
    </row>
    <row r="127" spans="1:19" x14ac:dyDescent="0.2">
      <c r="A127" s="4" t="s">
        <v>204</v>
      </c>
      <c r="B127" s="9">
        <v>46207</v>
      </c>
      <c r="C127" s="4" t="s">
        <v>79</v>
      </c>
      <c r="D127" s="4" t="s">
        <v>19</v>
      </c>
      <c r="E127" s="4">
        <v>2</v>
      </c>
      <c r="F127" s="4">
        <v>2923376</v>
      </c>
      <c r="G127" s="4">
        <v>75000</v>
      </c>
      <c r="H127" s="4">
        <v>30000</v>
      </c>
      <c r="I127" s="4">
        <v>5951752</v>
      </c>
      <c r="J127" s="4">
        <v>3340738</v>
      </c>
      <c r="K127" s="4">
        <v>498330</v>
      </c>
      <c r="L127" s="4">
        <v>401118</v>
      </c>
      <c r="M127" s="4">
        <v>4240186</v>
      </c>
      <c r="N127" s="4">
        <v>1711566</v>
      </c>
      <c r="O127" s="4">
        <v>0.28757347416357398</v>
      </c>
      <c r="P127" s="4" t="s">
        <v>67</v>
      </c>
      <c r="Q127" s="4">
        <v>75</v>
      </c>
      <c r="R127" s="4" t="s">
        <v>68</v>
      </c>
      <c r="S127" s="4" t="s">
        <v>60</v>
      </c>
    </row>
    <row r="128" spans="1:19" x14ac:dyDescent="0.2">
      <c r="A128" s="4" t="s">
        <v>205</v>
      </c>
      <c r="B128" s="9">
        <v>46221</v>
      </c>
      <c r="C128" s="4" t="s">
        <v>58</v>
      </c>
      <c r="D128" s="4" t="s">
        <v>53</v>
      </c>
      <c r="E128" s="4">
        <v>1</v>
      </c>
      <c r="F128" s="4">
        <v>1295176</v>
      </c>
      <c r="G128" s="4">
        <v>50000</v>
      </c>
      <c r="H128" s="4">
        <v>15000</v>
      </c>
      <c r="I128" s="4">
        <v>1360176</v>
      </c>
      <c r="J128" s="4">
        <v>592776</v>
      </c>
      <c r="K128" s="4">
        <v>116812</v>
      </c>
      <c r="L128" s="4">
        <v>92257</v>
      </c>
      <c r="M128" s="4">
        <v>801845</v>
      </c>
      <c r="N128" s="4">
        <v>558331</v>
      </c>
      <c r="O128" s="4">
        <v>0.4104843784921951</v>
      </c>
      <c r="P128" s="4" t="s">
        <v>67</v>
      </c>
      <c r="Q128" s="4">
        <v>75</v>
      </c>
      <c r="R128" s="4" t="s">
        <v>68</v>
      </c>
      <c r="S128" s="4" t="s">
        <v>60</v>
      </c>
    </row>
    <row r="129" spans="1:19" x14ac:dyDescent="0.2">
      <c r="A129" s="4" t="s">
        <v>206</v>
      </c>
      <c r="B129" s="9">
        <v>46226</v>
      </c>
      <c r="C129" s="4" t="s">
        <v>83</v>
      </c>
      <c r="D129" s="4" t="s">
        <v>63</v>
      </c>
      <c r="E129" s="4">
        <v>1</v>
      </c>
      <c r="F129" s="4">
        <v>1875157</v>
      </c>
      <c r="G129" s="4">
        <v>0</v>
      </c>
      <c r="H129" s="4">
        <v>0</v>
      </c>
      <c r="I129" s="4">
        <v>1875157</v>
      </c>
      <c r="J129" s="4">
        <v>1047205</v>
      </c>
      <c r="K129" s="4">
        <v>189668</v>
      </c>
      <c r="L129" s="4">
        <v>129439</v>
      </c>
      <c r="M129" s="4">
        <v>1366312</v>
      </c>
      <c r="N129" s="4">
        <v>508845</v>
      </c>
      <c r="O129" s="4">
        <v>0.27136127801565407</v>
      </c>
      <c r="P129" s="4" t="s">
        <v>54</v>
      </c>
      <c r="Q129" s="4">
        <v>60</v>
      </c>
      <c r="R129" s="4" t="s">
        <v>55</v>
      </c>
      <c r="S129" s="4" t="s">
        <v>87</v>
      </c>
    </row>
    <row r="130" spans="1:19" x14ac:dyDescent="0.2">
      <c r="A130" s="4" t="s">
        <v>207</v>
      </c>
      <c r="B130" s="9">
        <v>46286</v>
      </c>
      <c r="C130" s="4" t="s">
        <v>83</v>
      </c>
      <c r="D130" s="4" t="s">
        <v>59</v>
      </c>
      <c r="E130" s="4">
        <v>2</v>
      </c>
      <c r="F130" s="4">
        <v>1343984</v>
      </c>
      <c r="G130" s="4">
        <v>0</v>
      </c>
      <c r="H130" s="4">
        <v>0</v>
      </c>
      <c r="I130" s="4">
        <v>2687968</v>
      </c>
      <c r="J130" s="4">
        <v>1478950</v>
      </c>
      <c r="K130" s="4">
        <v>306690</v>
      </c>
      <c r="L130" s="4">
        <v>199684</v>
      </c>
      <c r="M130" s="4">
        <v>1985324</v>
      </c>
      <c r="N130" s="4">
        <v>702644</v>
      </c>
      <c r="O130" s="4">
        <v>0.26140340956439961</v>
      </c>
      <c r="P130" s="4" t="s">
        <v>73</v>
      </c>
      <c r="Q130" s="4">
        <v>45</v>
      </c>
      <c r="R130" s="4" t="s">
        <v>55</v>
      </c>
      <c r="S130" s="4" t="s">
        <v>64</v>
      </c>
    </row>
    <row r="131" spans="1:19" x14ac:dyDescent="0.2">
      <c r="A131" s="4" t="s">
        <v>208</v>
      </c>
      <c r="B131" s="9">
        <v>46258</v>
      </c>
      <c r="C131" s="4" t="s">
        <v>83</v>
      </c>
      <c r="D131" s="4" t="s">
        <v>53</v>
      </c>
      <c r="E131" s="4">
        <v>1</v>
      </c>
      <c r="F131" s="4">
        <v>1242082</v>
      </c>
      <c r="G131" s="4">
        <v>100000</v>
      </c>
      <c r="H131" s="4">
        <v>0</v>
      </c>
      <c r="I131" s="4">
        <v>1342082</v>
      </c>
      <c r="J131" s="4">
        <v>688054</v>
      </c>
      <c r="K131" s="4">
        <v>119160</v>
      </c>
      <c r="L131" s="4">
        <v>106787</v>
      </c>
      <c r="M131" s="4">
        <v>914001</v>
      </c>
      <c r="N131" s="4">
        <v>428081</v>
      </c>
      <c r="O131" s="4">
        <v>0.3189678425014269</v>
      </c>
      <c r="P131" s="4" t="s">
        <v>54</v>
      </c>
      <c r="Q131" s="4">
        <v>60</v>
      </c>
      <c r="R131" s="4" t="s">
        <v>55</v>
      </c>
      <c r="S131" s="4" t="s">
        <v>60</v>
      </c>
    </row>
    <row r="132" spans="1:19" x14ac:dyDescent="0.2">
      <c r="A132" s="4" t="s">
        <v>209</v>
      </c>
      <c r="B132" s="9">
        <v>46184</v>
      </c>
      <c r="C132" s="4" t="s">
        <v>75</v>
      </c>
      <c r="D132" s="4" t="s">
        <v>59</v>
      </c>
      <c r="E132" s="4">
        <v>3</v>
      </c>
      <c r="F132" s="4">
        <v>1321079</v>
      </c>
      <c r="G132" s="4">
        <v>0</v>
      </c>
      <c r="H132" s="4">
        <v>15000</v>
      </c>
      <c r="I132" s="4">
        <v>3978237</v>
      </c>
      <c r="J132" s="4">
        <v>2038854</v>
      </c>
      <c r="K132" s="4">
        <v>432363</v>
      </c>
      <c r="L132" s="4">
        <v>363321</v>
      </c>
      <c r="M132" s="4">
        <v>2834538</v>
      </c>
      <c r="N132" s="4">
        <v>1143699</v>
      </c>
      <c r="O132" s="4">
        <v>0.28748890526130039</v>
      </c>
      <c r="P132" s="4" t="s">
        <v>73</v>
      </c>
      <c r="Q132" s="4">
        <v>90</v>
      </c>
      <c r="R132" s="4" t="s">
        <v>55</v>
      </c>
      <c r="S132" s="4" t="s">
        <v>77</v>
      </c>
    </row>
    <row r="133" spans="1:19" x14ac:dyDescent="0.2">
      <c r="A133" s="4" t="s">
        <v>210</v>
      </c>
      <c r="B133" s="9">
        <v>46269</v>
      </c>
      <c r="C133" s="4" t="s">
        <v>83</v>
      </c>
      <c r="D133" s="4" t="s">
        <v>63</v>
      </c>
      <c r="E133" s="4">
        <v>1</v>
      </c>
      <c r="F133" s="4">
        <v>1943654</v>
      </c>
      <c r="G133" s="4">
        <v>25000</v>
      </c>
      <c r="H133" s="4">
        <v>30000</v>
      </c>
      <c r="I133" s="4">
        <v>1998654</v>
      </c>
      <c r="J133" s="4">
        <v>912033</v>
      </c>
      <c r="K133" s="4">
        <v>168107</v>
      </c>
      <c r="L133" s="4">
        <v>119117</v>
      </c>
      <c r="M133" s="4">
        <v>1199257</v>
      </c>
      <c r="N133" s="4">
        <v>799397</v>
      </c>
      <c r="O133" s="4">
        <v>0.39996767824746049</v>
      </c>
      <c r="P133" s="4" t="s">
        <v>76</v>
      </c>
      <c r="Q133" s="4">
        <v>90</v>
      </c>
      <c r="R133" s="4" t="s">
        <v>55</v>
      </c>
      <c r="S133" s="4" t="s">
        <v>60</v>
      </c>
    </row>
    <row r="134" spans="1:19" x14ac:dyDescent="0.2">
      <c r="A134" s="4" t="s">
        <v>211</v>
      </c>
      <c r="B134" s="9">
        <v>46201</v>
      </c>
      <c r="C134" s="4" t="s">
        <v>66</v>
      </c>
      <c r="D134" s="4" t="s">
        <v>53</v>
      </c>
      <c r="E134" s="4">
        <v>1</v>
      </c>
      <c r="F134" s="4">
        <v>1176780</v>
      </c>
      <c r="G134" s="4">
        <v>25000</v>
      </c>
      <c r="H134" s="4">
        <v>15000</v>
      </c>
      <c r="I134" s="4">
        <v>1216780</v>
      </c>
      <c r="J134" s="4">
        <v>607594</v>
      </c>
      <c r="K134" s="4">
        <v>112725</v>
      </c>
      <c r="L134" s="4">
        <v>105610</v>
      </c>
      <c r="M134" s="4">
        <v>825929</v>
      </c>
      <c r="N134" s="4">
        <v>390851</v>
      </c>
      <c r="O134" s="4">
        <v>0.32121747563240682</v>
      </c>
      <c r="P134" s="4" t="s">
        <v>54</v>
      </c>
      <c r="Q134" s="4">
        <v>15</v>
      </c>
      <c r="R134" s="4" t="s">
        <v>55</v>
      </c>
      <c r="S134" s="4" t="s">
        <v>77</v>
      </c>
    </row>
    <row r="135" spans="1:19" x14ac:dyDescent="0.2">
      <c r="A135" s="4" t="s">
        <v>212</v>
      </c>
      <c r="B135" s="9">
        <v>46173</v>
      </c>
      <c r="C135" s="4" t="s">
        <v>62</v>
      </c>
      <c r="D135" s="4" t="s">
        <v>19</v>
      </c>
      <c r="E135" s="4">
        <v>1</v>
      </c>
      <c r="F135" s="4">
        <v>2849176</v>
      </c>
      <c r="G135" s="4">
        <v>100000</v>
      </c>
      <c r="H135" s="4">
        <v>0</v>
      </c>
      <c r="I135" s="4">
        <v>2949176</v>
      </c>
      <c r="J135" s="4">
        <v>1510548</v>
      </c>
      <c r="K135" s="4">
        <v>275228</v>
      </c>
      <c r="L135" s="4">
        <v>183845</v>
      </c>
      <c r="M135" s="4">
        <v>1969621</v>
      </c>
      <c r="N135" s="4">
        <v>979555</v>
      </c>
      <c r="O135" s="4">
        <v>0.332145317878621</v>
      </c>
      <c r="P135" s="4" t="s">
        <v>67</v>
      </c>
      <c r="Q135" s="4">
        <v>60</v>
      </c>
      <c r="R135" s="4" t="s">
        <v>55</v>
      </c>
      <c r="S135" s="4" t="s">
        <v>64</v>
      </c>
    </row>
    <row r="136" spans="1:19" x14ac:dyDescent="0.2">
      <c r="A136" s="4" t="s">
        <v>213</v>
      </c>
      <c r="B136" s="9">
        <v>46247</v>
      </c>
      <c r="C136" s="4" t="s">
        <v>58</v>
      </c>
      <c r="D136" s="4" t="s">
        <v>19</v>
      </c>
      <c r="E136" s="4">
        <v>1</v>
      </c>
      <c r="F136" s="4">
        <v>2954749</v>
      </c>
      <c r="G136" s="4">
        <v>75000</v>
      </c>
      <c r="H136" s="4">
        <v>30000</v>
      </c>
      <c r="I136" s="4">
        <v>3059749</v>
      </c>
      <c r="J136" s="4">
        <v>1420820</v>
      </c>
      <c r="K136" s="4">
        <v>285773</v>
      </c>
      <c r="L136" s="4">
        <v>187436</v>
      </c>
      <c r="M136" s="4">
        <v>1894029</v>
      </c>
      <c r="N136" s="4">
        <v>1165720</v>
      </c>
      <c r="O136" s="4">
        <v>0.38098549913734753</v>
      </c>
      <c r="P136" s="4" t="s">
        <v>73</v>
      </c>
      <c r="Q136" s="4">
        <v>45</v>
      </c>
      <c r="R136" s="4" t="s">
        <v>55</v>
      </c>
      <c r="S136" s="4" t="s">
        <v>87</v>
      </c>
    </row>
    <row r="137" spans="1:19" x14ac:dyDescent="0.2">
      <c r="A137" s="4" t="s">
        <v>214</v>
      </c>
      <c r="B137" s="9">
        <v>46276</v>
      </c>
      <c r="C137" s="4" t="s">
        <v>62</v>
      </c>
      <c r="D137" s="4" t="s">
        <v>59</v>
      </c>
      <c r="E137" s="4">
        <v>1</v>
      </c>
      <c r="F137" s="4">
        <v>1341290</v>
      </c>
      <c r="G137" s="4">
        <v>100000</v>
      </c>
      <c r="H137" s="4">
        <v>0</v>
      </c>
      <c r="I137" s="4">
        <v>1441290</v>
      </c>
      <c r="J137" s="4">
        <v>724606</v>
      </c>
      <c r="K137" s="4">
        <v>156387</v>
      </c>
      <c r="L137" s="4">
        <v>119119</v>
      </c>
      <c r="M137" s="4">
        <v>1000112</v>
      </c>
      <c r="N137" s="4">
        <v>441178</v>
      </c>
      <c r="O137" s="4">
        <v>0.30609939706790451</v>
      </c>
      <c r="P137" s="4" t="s">
        <v>67</v>
      </c>
      <c r="Q137" s="4">
        <v>30</v>
      </c>
      <c r="R137" s="4" t="s">
        <v>68</v>
      </c>
      <c r="S137" s="4" t="s">
        <v>77</v>
      </c>
    </row>
    <row r="138" spans="1:19" x14ac:dyDescent="0.2">
      <c r="A138" s="4" t="s">
        <v>215</v>
      </c>
      <c r="B138" s="9">
        <v>46201</v>
      </c>
      <c r="C138" s="4" t="s">
        <v>71</v>
      </c>
      <c r="D138" s="4" t="s">
        <v>63</v>
      </c>
      <c r="E138" s="4">
        <v>2</v>
      </c>
      <c r="F138" s="4">
        <v>1755152</v>
      </c>
      <c r="G138" s="4">
        <v>50000</v>
      </c>
      <c r="H138" s="4">
        <v>50000</v>
      </c>
      <c r="I138" s="4">
        <v>3610304</v>
      </c>
      <c r="J138" s="4">
        <v>1989320</v>
      </c>
      <c r="K138" s="4">
        <v>373574</v>
      </c>
      <c r="L138" s="4">
        <v>241158</v>
      </c>
      <c r="M138" s="4">
        <v>2604052</v>
      </c>
      <c r="N138" s="4">
        <v>1006252</v>
      </c>
      <c r="O138" s="4">
        <v>0.27871669532537979</v>
      </c>
      <c r="P138" s="4" t="s">
        <v>54</v>
      </c>
      <c r="Q138" s="4">
        <v>75</v>
      </c>
      <c r="R138" s="4" t="s">
        <v>55</v>
      </c>
      <c r="S138" s="4" t="s">
        <v>77</v>
      </c>
    </row>
    <row r="139" spans="1:19" x14ac:dyDescent="0.2">
      <c r="A139" s="4" t="s">
        <v>216</v>
      </c>
      <c r="B139" s="9">
        <v>46264</v>
      </c>
      <c r="C139" s="4" t="s">
        <v>117</v>
      </c>
      <c r="D139" s="4" t="s">
        <v>59</v>
      </c>
      <c r="E139" s="4">
        <v>1</v>
      </c>
      <c r="F139" s="4">
        <v>1438397</v>
      </c>
      <c r="G139" s="4">
        <v>0</v>
      </c>
      <c r="H139" s="4">
        <v>0</v>
      </c>
      <c r="I139" s="4">
        <v>1438397</v>
      </c>
      <c r="J139" s="4">
        <v>781284</v>
      </c>
      <c r="K139" s="4">
        <v>137816</v>
      </c>
      <c r="L139" s="4">
        <v>121359</v>
      </c>
      <c r="M139" s="4">
        <v>1040459</v>
      </c>
      <c r="N139" s="4">
        <v>397938</v>
      </c>
      <c r="O139" s="4">
        <v>0.27665380280965551</v>
      </c>
      <c r="P139" s="4" t="s">
        <v>67</v>
      </c>
      <c r="Q139" s="4">
        <v>90</v>
      </c>
      <c r="R139" s="4" t="s">
        <v>55</v>
      </c>
      <c r="S139" s="4" t="s">
        <v>60</v>
      </c>
    </row>
    <row r="140" spans="1:19" x14ac:dyDescent="0.2">
      <c r="A140" s="4" t="s">
        <v>217</v>
      </c>
      <c r="B140" s="9">
        <v>46166</v>
      </c>
      <c r="C140" s="4" t="s">
        <v>75</v>
      </c>
      <c r="D140" s="4" t="s">
        <v>19</v>
      </c>
      <c r="E140" s="4">
        <v>1</v>
      </c>
      <c r="F140" s="4">
        <v>2643872</v>
      </c>
      <c r="G140" s="4">
        <v>50000</v>
      </c>
      <c r="H140" s="4">
        <v>30000</v>
      </c>
      <c r="I140" s="4">
        <v>2723872</v>
      </c>
      <c r="J140" s="4">
        <v>1668655</v>
      </c>
      <c r="K140" s="4">
        <v>259098</v>
      </c>
      <c r="L140" s="4">
        <v>187419</v>
      </c>
      <c r="M140" s="4">
        <v>2115172</v>
      </c>
      <c r="N140" s="4">
        <v>608700</v>
      </c>
      <c r="O140" s="4">
        <v>0.223468650509275</v>
      </c>
      <c r="P140" s="4" t="s">
        <v>67</v>
      </c>
      <c r="Q140" s="4">
        <v>90</v>
      </c>
      <c r="R140" s="4" t="s">
        <v>68</v>
      </c>
      <c r="S140" s="4" t="s">
        <v>56</v>
      </c>
    </row>
    <row r="141" spans="1:19" x14ac:dyDescent="0.2">
      <c r="A141" s="4" t="s">
        <v>218</v>
      </c>
      <c r="B141" s="9">
        <v>46289</v>
      </c>
      <c r="C141" s="4" t="s">
        <v>83</v>
      </c>
      <c r="D141" s="4" t="s">
        <v>53</v>
      </c>
      <c r="E141" s="4">
        <v>1</v>
      </c>
      <c r="F141" s="4">
        <v>1197824</v>
      </c>
      <c r="G141" s="4">
        <v>50000</v>
      </c>
      <c r="H141" s="4">
        <v>15000</v>
      </c>
      <c r="I141" s="4">
        <v>1262824</v>
      </c>
      <c r="J141" s="4">
        <v>627990</v>
      </c>
      <c r="K141" s="4">
        <v>118205</v>
      </c>
      <c r="L141" s="4">
        <v>93160</v>
      </c>
      <c r="M141" s="4">
        <v>839355</v>
      </c>
      <c r="N141" s="4">
        <v>423469</v>
      </c>
      <c r="O141" s="4">
        <v>0.33533493186699009</v>
      </c>
      <c r="P141" s="4" t="s">
        <v>76</v>
      </c>
      <c r="Q141" s="4">
        <v>30</v>
      </c>
      <c r="R141" s="4" t="s">
        <v>55</v>
      </c>
      <c r="S141" s="4" t="s">
        <v>87</v>
      </c>
    </row>
    <row r="142" spans="1:19" x14ac:dyDescent="0.2">
      <c r="A142" s="4" t="s">
        <v>219</v>
      </c>
      <c r="B142" s="9">
        <v>46256</v>
      </c>
      <c r="C142" s="4" t="s">
        <v>66</v>
      </c>
      <c r="D142" s="4" t="s">
        <v>53</v>
      </c>
      <c r="E142" s="4">
        <v>1</v>
      </c>
      <c r="F142" s="4">
        <v>1206367</v>
      </c>
      <c r="G142" s="4">
        <v>50000</v>
      </c>
      <c r="H142" s="4">
        <v>30000</v>
      </c>
      <c r="I142" s="4">
        <v>1286367</v>
      </c>
      <c r="J142" s="4">
        <v>603566</v>
      </c>
      <c r="K142" s="4">
        <v>115437</v>
      </c>
      <c r="L142" s="4">
        <v>92129</v>
      </c>
      <c r="M142" s="4">
        <v>811132</v>
      </c>
      <c r="N142" s="4">
        <v>475235</v>
      </c>
      <c r="O142" s="4">
        <v>0.36943967001641048</v>
      </c>
      <c r="P142" s="4" t="s">
        <v>76</v>
      </c>
      <c r="Q142" s="4">
        <v>60</v>
      </c>
      <c r="R142" s="4" t="s">
        <v>55</v>
      </c>
      <c r="S142" s="4" t="s">
        <v>77</v>
      </c>
    </row>
    <row r="143" spans="1:19" x14ac:dyDescent="0.2">
      <c r="A143" s="4" t="s">
        <v>220</v>
      </c>
      <c r="B143" s="9">
        <v>46196</v>
      </c>
      <c r="C143" s="4" t="s">
        <v>66</v>
      </c>
      <c r="D143" s="4" t="s">
        <v>63</v>
      </c>
      <c r="E143" s="4">
        <v>1</v>
      </c>
      <c r="F143" s="4">
        <v>1732154</v>
      </c>
      <c r="G143" s="4">
        <v>75000</v>
      </c>
      <c r="H143" s="4">
        <v>0</v>
      </c>
      <c r="I143" s="4">
        <v>1807154</v>
      </c>
      <c r="J143" s="4">
        <v>1063234</v>
      </c>
      <c r="K143" s="4">
        <v>183006</v>
      </c>
      <c r="L143" s="4">
        <v>142141</v>
      </c>
      <c r="M143" s="4">
        <v>1388381</v>
      </c>
      <c r="N143" s="4">
        <v>418773</v>
      </c>
      <c r="O143" s="4">
        <v>0.23173066600854161</v>
      </c>
      <c r="P143" s="4" t="s">
        <v>67</v>
      </c>
      <c r="Q143" s="4">
        <v>60</v>
      </c>
      <c r="R143" s="4" t="s">
        <v>68</v>
      </c>
      <c r="S143" s="4" t="s">
        <v>77</v>
      </c>
    </row>
    <row r="144" spans="1:19" x14ac:dyDescent="0.2">
      <c r="A144" s="4" t="s">
        <v>221</v>
      </c>
      <c r="B144" s="9">
        <v>46262</v>
      </c>
      <c r="C144" s="4" t="s">
        <v>117</v>
      </c>
      <c r="D144" s="4" t="s">
        <v>63</v>
      </c>
      <c r="E144" s="4">
        <v>1</v>
      </c>
      <c r="F144" s="4">
        <v>1762901</v>
      </c>
      <c r="G144" s="4">
        <v>50000</v>
      </c>
      <c r="H144" s="4">
        <v>50000</v>
      </c>
      <c r="I144" s="4">
        <v>1862901</v>
      </c>
      <c r="J144" s="4">
        <v>987528</v>
      </c>
      <c r="K144" s="4">
        <v>199928</v>
      </c>
      <c r="L144" s="4">
        <v>136234</v>
      </c>
      <c r="M144" s="4">
        <v>1323690</v>
      </c>
      <c r="N144" s="4">
        <v>539211</v>
      </c>
      <c r="O144" s="4">
        <v>0.28944694323530878</v>
      </c>
      <c r="P144" s="4" t="s">
        <v>67</v>
      </c>
      <c r="Q144" s="4">
        <v>15</v>
      </c>
      <c r="R144" s="4" t="s">
        <v>68</v>
      </c>
      <c r="S144" s="4" t="s">
        <v>60</v>
      </c>
    </row>
    <row r="145" spans="1:19" x14ac:dyDescent="0.2">
      <c r="A145" s="4" t="s">
        <v>222</v>
      </c>
      <c r="B145" s="9">
        <v>46206</v>
      </c>
      <c r="C145" s="4" t="s">
        <v>117</v>
      </c>
      <c r="D145" s="4" t="s">
        <v>19</v>
      </c>
      <c r="E145" s="4">
        <v>1</v>
      </c>
      <c r="F145" s="4">
        <v>2789027</v>
      </c>
      <c r="G145" s="4">
        <v>0</v>
      </c>
      <c r="H145" s="4">
        <v>30000</v>
      </c>
      <c r="I145" s="4">
        <v>2819027</v>
      </c>
      <c r="J145" s="4">
        <v>1571765</v>
      </c>
      <c r="K145" s="4">
        <v>237165</v>
      </c>
      <c r="L145" s="4">
        <v>183907</v>
      </c>
      <c r="M145" s="4">
        <v>1992837</v>
      </c>
      <c r="N145" s="4">
        <v>826190</v>
      </c>
      <c r="O145" s="4">
        <v>0.29307629902090332</v>
      </c>
      <c r="P145" s="4" t="s">
        <v>54</v>
      </c>
      <c r="Q145" s="4">
        <v>75</v>
      </c>
      <c r="R145" s="4" t="s">
        <v>55</v>
      </c>
      <c r="S145" s="4" t="s">
        <v>87</v>
      </c>
    </row>
    <row r="146" spans="1:19" x14ac:dyDescent="0.2">
      <c r="A146" s="4" t="s">
        <v>223</v>
      </c>
      <c r="B146" s="9">
        <v>46287</v>
      </c>
      <c r="C146" s="4" t="s">
        <v>52</v>
      </c>
      <c r="D146" s="4" t="s">
        <v>53</v>
      </c>
      <c r="E146" s="4">
        <v>1</v>
      </c>
      <c r="F146" s="4">
        <v>1144242</v>
      </c>
      <c r="G146" s="4">
        <v>50000</v>
      </c>
      <c r="H146" s="4">
        <v>0</v>
      </c>
      <c r="I146" s="4">
        <v>1194242</v>
      </c>
      <c r="J146" s="4">
        <v>616676</v>
      </c>
      <c r="K146" s="4">
        <v>137603</v>
      </c>
      <c r="L146" s="4">
        <v>102272</v>
      </c>
      <c r="M146" s="4">
        <v>856551</v>
      </c>
      <c r="N146" s="4">
        <v>337691</v>
      </c>
      <c r="O146" s="4">
        <v>0.28276597205591503</v>
      </c>
      <c r="P146" s="4" t="s">
        <v>67</v>
      </c>
      <c r="Q146" s="4">
        <v>75</v>
      </c>
      <c r="R146" s="4" t="s">
        <v>68</v>
      </c>
      <c r="S146" s="4" t="s">
        <v>56</v>
      </c>
    </row>
    <row r="147" spans="1:19" x14ac:dyDescent="0.2">
      <c r="A147" s="4" t="s">
        <v>224</v>
      </c>
      <c r="B147" s="9">
        <v>46122</v>
      </c>
      <c r="C147" s="4" t="s">
        <v>58</v>
      </c>
      <c r="D147" s="4" t="s">
        <v>59</v>
      </c>
      <c r="E147" s="4">
        <v>1</v>
      </c>
      <c r="F147" s="4">
        <v>1473577</v>
      </c>
      <c r="G147" s="4">
        <v>25000</v>
      </c>
      <c r="H147" s="4">
        <v>15000</v>
      </c>
      <c r="I147" s="4">
        <v>1513577</v>
      </c>
      <c r="J147" s="4">
        <v>726945</v>
      </c>
      <c r="K147" s="4">
        <v>131212</v>
      </c>
      <c r="L147" s="4">
        <v>120613</v>
      </c>
      <c r="M147" s="4">
        <v>978770</v>
      </c>
      <c r="N147" s="4">
        <v>534807</v>
      </c>
      <c r="O147" s="4">
        <v>0.35333980365716439</v>
      </c>
      <c r="P147" s="4" t="s">
        <v>76</v>
      </c>
      <c r="Q147" s="4">
        <v>45</v>
      </c>
      <c r="R147" s="4" t="s">
        <v>55</v>
      </c>
      <c r="S147" s="4" t="s">
        <v>64</v>
      </c>
    </row>
    <row r="148" spans="1:19" x14ac:dyDescent="0.2">
      <c r="A148" s="4" t="s">
        <v>225</v>
      </c>
      <c r="B148" s="9">
        <v>46270</v>
      </c>
      <c r="C148" s="4" t="s">
        <v>93</v>
      </c>
      <c r="D148" s="4" t="s">
        <v>63</v>
      </c>
      <c r="E148" s="4">
        <v>1</v>
      </c>
      <c r="F148" s="4">
        <v>1819843</v>
      </c>
      <c r="G148" s="4">
        <v>75000</v>
      </c>
      <c r="H148" s="4">
        <v>0</v>
      </c>
      <c r="I148" s="4">
        <v>1894843</v>
      </c>
      <c r="J148" s="4">
        <v>970845</v>
      </c>
      <c r="K148" s="4">
        <v>184043</v>
      </c>
      <c r="L148" s="4">
        <v>133099</v>
      </c>
      <c r="M148" s="4">
        <v>1287987</v>
      </c>
      <c r="N148" s="4">
        <v>606856</v>
      </c>
      <c r="O148" s="4">
        <v>0.32026716725343468</v>
      </c>
      <c r="P148" s="4" t="s">
        <v>67</v>
      </c>
      <c r="Q148" s="4">
        <v>90</v>
      </c>
      <c r="R148" s="4" t="s">
        <v>68</v>
      </c>
      <c r="S148" s="4" t="s">
        <v>87</v>
      </c>
    </row>
    <row r="149" spans="1:19" x14ac:dyDescent="0.2">
      <c r="A149" s="4" t="s">
        <v>226</v>
      </c>
      <c r="B149" s="9">
        <v>46191</v>
      </c>
      <c r="C149" s="4" t="s">
        <v>101</v>
      </c>
      <c r="D149" s="4" t="s">
        <v>53</v>
      </c>
      <c r="E149" s="4">
        <v>1</v>
      </c>
      <c r="F149" s="4">
        <v>1172609</v>
      </c>
      <c r="G149" s="4">
        <v>25000</v>
      </c>
      <c r="H149" s="4">
        <v>0</v>
      </c>
      <c r="I149" s="4">
        <v>1197609</v>
      </c>
      <c r="J149" s="4">
        <v>651693</v>
      </c>
      <c r="K149" s="4">
        <v>137161</v>
      </c>
      <c r="L149" s="4">
        <v>102726</v>
      </c>
      <c r="M149" s="4">
        <v>891580</v>
      </c>
      <c r="N149" s="4">
        <v>306029</v>
      </c>
      <c r="O149" s="4">
        <v>0.25553331680039137</v>
      </c>
      <c r="P149" s="4" t="s">
        <v>54</v>
      </c>
      <c r="Q149" s="4">
        <v>30</v>
      </c>
      <c r="R149" s="4" t="s">
        <v>55</v>
      </c>
      <c r="S149" s="4" t="s">
        <v>60</v>
      </c>
    </row>
    <row r="150" spans="1:19" x14ac:dyDescent="0.2">
      <c r="A150" s="4" t="s">
        <v>227</v>
      </c>
      <c r="B150" s="9">
        <v>46271</v>
      </c>
      <c r="C150" s="4" t="s">
        <v>66</v>
      </c>
      <c r="D150" s="4" t="s">
        <v>19</v>
      </c>
      <c r="E150" s="4">
        <v>1</v>
      </c>
      <c r="F150" s="4">
        <v>2898844</v>
      </c>
      <c r="G150" s="4">
        <v>0</v>
      </c>
      <c r="H150" s="4">
        <v>30000</v>
      </c>
      <c r="I150" s="4">
        <v>2928844</v>
      </c>
      <c r="J150" s="4">
        <v>1407997</v>
      </c>
      <c r="K150" s="4">
        <v>284262</v>
      </c>
      <c r="L150" s="4">
        <v>166351</v>
      </c>
      <c r="M150" s="4">
        <v>1858610</v>
      </c>
      <c r="N150" s="4">
        <v>1070234</v>
      </c>
      <c r="O150" s="4">
        <v>0.36541174606773191</v>
      </c>
      <c r="P150" s="4" t="s">
        <v>67</v>
      </c>
      <c r="Q150" s="4">
        <v>30</v>
      </c>
      <c r="R150" s="4" t="s">
        <v>68</v>
      </c>
      <c r="S150" s="4" t="s">
        <v>64</v>
      </c>
    </row>
    <row r="151" spans="1:19" x14ac:dyDescent="0.2">
      <c r="A151" s="4" t="s">
        <v>228</v>
      </c>
      <c r="B151" s="9">
        <v>46241</v>
      </c>
      <c r="C151" s="4" t="s">
        <v>58</v>
      </c>
      <c r="D151" s="4" t="s">
        <v>19</v>
      </c>
      <c r="E151" s="4">
        <v>2</v>
      </c>
      <c r="F151" s="4">
        <v>2920448</v>
      </c>
      <c r="G151" s="4">
        <v>50000</v>
      </c>
      <c r="H151" s="4">
        <v>30000</v>
      </c>
      <c r="I151" s="4">
        <v>5920896</v>
      </c>
      <c r="J151" s="4">
        <v>2834666</v>
      </c>
      <c r="K151" s="4">
        <v>467260</v>
      </c>
      <c r="L151" s="4">
        <v>340420</v>
      </c>
      <c r="M151" s="4">
        <v>3642346</v>
      </c>
      <c r="N151" s="4">
        <v>2278550</v>
      </c>
      <c r="O151" s="4">
        <v>0.38483195786583652</v>
      </c>
      <c r="P151" s="4" t="s">
        <v>54</v>
      </c>
      <c r="Q151" s="4">
        <v>45</v>
      </c>
      <c r="R151" s="4" t="s">
        <v>55</v>
      </c>
      <c r="S151" s="4" t="s">
        <v>64</v>
      </c>
    </row>
    <row r="152" spans="1:19" x14ac:dyDescent="0.2">
      <c r="A152" s="4" t="s">
        <v>229</v>
      </c>
      <c r="B152" s="9">
        <v>46249</v>
      </c>
      <c r="C152" s="4" t="s">
        <v>117</v>
      </c>
      <c r="D152" s="4" t="s">
        <v>63</v>
      </c>
      <c r="E152" s="4">
        <v>1</v>
      </c>
      <c r="F152" s="4">
        <v>1862318</v>
      </c>
      <c r="G152" s="4">
        <v>50000</v>
      </c>
      <c r="H152" s="4">
        <v>50000</v>
      </c>
      <c r="I152" s="4">
        <v>1962318</v>
      </c>
      <c r="J152" s="4">
        <v>1038854</v>
      </c>
      <c r="K152" s="4">
        <v>192633</v>
      </c>
      <c r="L152" s="4">
        <v>139984</v>
      </c>
      <c r="M152" s="4">
        <v>1371471</v>
      </c>
      <c r="N152" s="4">
        <v>590847</v>
      </c>
      <c r="O152" s="4">
        <v>0.30109645837219051</v>
      </c>
      <c r="P152" s="4" t="s">
        <v>54</v>
      </c>
      <c r="Q152" s="4">
        <v>30</v>
      </c>
      <c r="R152" s="4" t="s">
        <v>55</v>
      </c>
      <c r="S152" s="4" t="s">
        <v>87</v>
      </c>
    </row>
    <row r="153" spans="1:19" x14ac:dyDescent="0.2">
      <c r="A153" s="4" t="s">
        <v>230</v>
      </c>
      <c r="B153" s="9">
        <v>46189</v>
      </c>
      <c r="C153" s="4" t="s">
        <v>62</v>
      </c>
      <c r="D153" s="4" t="s">
        <v>59</v>
      </c>
      <c r="E153" s="4">
        <v>2</v>
      </c>
      <c r="F153" s="4">
        <v>1508523</v>
      </c>
      <c r="G153" s="4">
        <v>75000</v>
      </c>
      <c r="H153" s="4">
        <v>15000</v>
      </c>
      <c r="I153" s="4">
        <v>3107046</v>
      </c>
      <c r="J153" s="4">
        <v>1525412</v>
      </c>
      <c r="K153" s="4">
        <v>301342</v>
      </c>
      <c r="L153" s="4">
        <v>231406</v>
      </c>
      <c r="M153" s="4">
        <v>2058160</v>
      </c>
      <c r="N153" s="4">
        <v>1048886</v>
      </c>
      <c r="O153" s="4">
        <v>0.33758302902499671</v>
      </c>
      <c r="P153" s="4" t="s">
        <v>54</v>
      </c>
      <c r="Q153" s="4">
        <v>75</v>
      </c>
      <c r="R153" s="4" t="s">
        <v>55</v>
      </c>
      <c r="S153" s="4" t="s">
        <v>69</v>
      </c>
    </row>
    <row r="154" spans="1:19" x14ac:dyDescent="0.2">
      <c r="A154" s="4" t="s">
        <v>231</v>
      </c>
      <c r="B154" s="9">
        <v>46186</v>
      </c>
      <c r="C154" s="4" t="s">
        <v>75</v>
      </c>
      <c r="D154" s="4" t="s">
        <v>53</v>
      </c>
      <c r="E154" s="4">
        <v>1</v>
      </c>
      <c r="F154" s="4">
        <v>1219256</v>
      </c>
      <c r="G154" s="4">
        <v>25000</v>
      </c>
      <c r="H154" s="4">
        <v>15000</v>
      </c>
      <c r="I154" s="4">
        <v>1259256</v>
      </c>
      <c r="J154" s="4">
        <v>681474</v>
      </c>
      <c r="K154" s="4">
        <v>119835</v>
      </c>
      <c r="L154" s="4">
        <v>97592</v>
      </c>
      <c r="M154" s="4">
        <v>898901</v>
      </c>
      <c r="N154" s="4">
        <v>360355</v>
      </c>
      <c r="O154" s="4">
        <v>0.28616500536824918</v>
      </c>
      <c r="P154" s="4" t="s">
        <v>67</v>
      </c>
      <c r="Q154" s="4">
        <v>90</v>
      </c>
      <c r="R154" s="4" t="s">
        <v>68</v>
      </c>
      <c r="S154" s="4" t="s">
        <v>60</v>
      </c>
    </row>
    <row r="155" spans="1:19" x14ac:dyDescent="0.2">
      <c r="A155" s="4" t="s">
        <v>232</v>
      </c>
      <c r="B155" s="9">
        <v>46178</v>
      </c>
      <c r="C155" s="4" t="s">
        <v>66</v>
      </c>
      <c r="D155" s="4" t="s">
        <v>19</v>
      </c>
      <c r="E155" s="4">
        <v>1</v>
      </c>
      <c r="F155" s="4">
        <v>2956557</v>
      </c>
      <c r="G155" s="4">
        <v>0</v>
      </c>
      <c r="H155" s="4">
        <v>50000</v>
      </c>
      <c r="I155" s="4">
        <v>3006557</v>
      </c>
      <c r="J155" s="4">
        <v>1480824</v>
      </c>
      <c r="K155" s="4">
        <v>260126</v>
      </c>
      <c r="L155" s="4">
        <v>172756</v>
      </c>
      <c r="M155" s="4">
        <v>1913706</v>
      </c>
      <c r="N155" s="4">
        <v>1092851</v>
      </c>
      <c r="O155" s="4">
        <v>0.36348920043757688</v>
      </c>
      <c r="P155" s="4" t="s">
        <v>73</v>
      </c>
      <c r="Q155" s="4">
        <v>30</v>
      </c>
      <c r="R155" s="4" t="s">
        <v>55</v>
      </c>
      <c r="S155" s="4" t="s">
        <v>56</v>
      </c>
    </row>
    <row r="156" spans="1:19" x14ac:dyDescent="0.2">
      <c r="A156" s="4" t="s">
        <v>233</v>
      </c>
      <c r="B156" s="9">
        <v>46284</v>
      </c>
      <c r="C156" s="4" t="s">
        <v>93</v>
      </c>
      <c r="D156" s="4" t="s">
        <v>59</v>
      </c>
      <c r="E156" s="4">
        <v>1</v>
      </c>
      <c r="F156" s="4">
        <v>1326288</v>
      </c>
      <c r="G156" s="4">
        <v>25000</v>
      </c>
      <c r="H156" s="4">
        <v>0</v>
      </c>
      <c r="I156" s="4">
        <v>1351288</v>
      </c>
      <c r="J156" s="4">
        <v>711888</v>
      </c>
      <c r="K156" s="4">
        <v>151107</v>
      </c>
      <c r="L156" s="4">
        <v>101433</v>
      </c>
      <c r="M156" s="4">
        <v>964428</v>
      </c>
      <c r="N156" s="4">
        <v>386860</v>
      </c>
      <c r="O156" s="4">
        <v>0.28628982126682101</v>
      </c>
      <c r="P156" s="4" t="s">
        <v>76</v>
      </c>
      <c r="Q156" s="4">
        <v>30</v>
      </c>
      <c r="R156" s="4" t="s">
        <v>55</v>
      </c>
      <c r="S156" s="4" t="s">
        <v>60</v>
      </c>
    </row>
    <row r="157" spans="1:19" x14ac:dyDescent="0.2">
      <c r="A157" s="4" t="s">
        <v>234</v>
      </c>
      <c r="B157" s="9">
        <v>46234</v>
      </c>
      <c r="C157" s="4" t="s">
        <v>52</v>
      </c>
      <c r="D157" s="4" t="s">
        <v>19</v>
      </c>
      <c r="E157" s="4">
        <v>1</v>
      </c>
      <c r="F157" s="4">
        <v>2928317</v>
      </c>
      <c r="G157" s="4">
        <v>0</v>
      </c>
      <c r="H157" s="4">
        <v>50000</v>
      </c>
      <c r="I157" s="4">
        <v>2978317</v>
      </c>
      <c r="J157" s="4">
        <v>1485722</v>
      </c>
      <c r="K157" s="4">
        <v>242838</v>
      </c>
      <c r="L157" s="4">
        <v>164342</v>
      </c>
      <c r="M157" s="4">
        <v>1892902</v>
      </c>
      <c r="N157" s="4">
        <v>1085415</v>
      </c>
      <c r="O157" s="4">
        <v>0.36443904392984361</v>
      </c>
      <c r="P157" s="4" t="s">
        <v>67</v>
      </c>
      <c r="Q157" s="4">
        <v>90</v>
      </c>
      <c r="R157" s="4" t="s">
        <v>55</v>
      </c>
      <c r="S157" s="4" t="s">
        <v>77</v>
      </c>
    </row>
    <row r="158" spans="1:19" x14ac:dyDescent="0.2">
      <c r="A158" s="4" t="s">
        <v>235</v>
      </c>
      <c r="B158" s="9">
        <v>46219</v>
      </c>
      <c r="C158" s="4" t="s">
        <v>83</v>
      </c>
      <c r="D158" s="4" t="s">
        <v>59</v>
      </c>
      <c r="E158" s="4">
        <v>2</v>
      </c>
      <c r="F158" s="4">
        <v>1323122</v>
      </c>
      <c r="G158" s="4">
        <v>50000</v>
      </c>
      <c r="H158" s="4">
        <v>0</v>
      </c>
      <c r="I158" s="4">
        <v>2696244</v>
      </c>
      <c r="J158" s="4">
        <v>1543880</v>
      </c>
      <c r="K158" s="4">
        <v>307156</v>
      </c>
      <c r="L158" s="4">
        <v>207016</v>
      </c>
      <c r="M158" s="4">
        <v>2058052</v>
      </c>
      <c r="N158" s="4">
        <v>638192</v>
      </c>
      <c r="O158" s="4">
        <v>0.23669667878723141</v>
      </c>
      <c r="P158" s="4" t="s">
        <v>67</v>
      </c>
      <c r="Q158" s="4">
        <v>75</v>
      </c>
      <c r="R158" s="4" t="s">
        <v>68</v>
      </c>
      <c r="S158" s="4" t="s">
        <v>69</v>
      </c>
    </row>
    <row r="159" spans="1:19" x14ac:dyDescent="0.2">
      <c r="A159" s="4" t="s">
        <v>236</v>
      </c>
      <c r="B159" s="9">
        <v>46229</v>
      </c>
      <c r="C159" s="4" t="s">
        <v>117</v>
      </c>
      <c r="D159" s="4" t="s">
        <v>19</v>
      </c>
      <c r="E159" s="4">
        <v>2</v>
      </c>
      <c r="F159" s="4">
        <v>2684606</v>
      </c>
      <c r="G159" s="4">
        <v>50000</v>
      </c>
      <c r="H159" s="4">
        <v>0</v>
      </c>
      <c r="I159" s="4">
        <v>5419212</v>
      </c>
      <c r="J159" s="4">
        <v>3103360</v>
      </c>
      <c r="K159" s="4">
        <v>484104</v>
      </c>
      <c r="L159" s="4">
        <v>388058</v>
      </c>
      <c r="M159" s="4">
        <v>3975522</v>
      </c>
      <c r="N159" s="4">
        <v>1443690</v>
      </c>
      <c r="O159" s="4">
        <v>0.26640220017227589</v>
      </c>
      <c r="P159" s="4" t="s">
        <v>73</v>
      </c>
      <c r="Q159" s="4">
        <v>90</v>
      </c>
      <c r="R159" s="4" t="s">
        <v>55</v>
      </c>
      <c r="S159" s="4" t="s">
        <v>60</v>
      </c>
    </row>
    <row r="160" spans="1:19" x14ac:dyDescent="0.2">
      <c r="A160" s="4" t="s">
        <v>237</v>
      </c>
      <c r="B160" s="9">
        <v>46160</v>
      </c>
      <c r="C160" s="4" t="s">
        <v>93</v>
      </c>
      <c r="D160" s="4" t="s">
        <v>53</v>
      </c>
      <c r="E160" s="4">
        <v>1</v>
      </c>
      <c r="F160" s="4">
        <v>1260848</v>
      </c>
      <c r="G160" s="4">
        <v>75000</v>
      </c>
      <c r="H160" s="4">
        <v>30000</v>
      </c>
      <c r="I160" s="4">
        <v>1365848</v>
      </c>
      <c r="J160" s="4">
        <v>640804</v>
      </c>
      <c r="K160" s="4">
        <v>130718</v>
      </c>
      <c r="L160" s="4">
        <v>93860</v>
      </c>
      <c r="M160" s="4">
        <v>865382</v>
      </c>
      <c r="N160" s="4">
        <v>500466</v>
      </c>
      <c r="O160" s="4">
        <v>0.36641412514423272</v>
      </c>
      <c r="P160" s="4" t="s">
        <v>54</v>
      </c>
      <c r="Q160" s="4">
        <v>15</v>
      </c>
      <c r="R160" s="4" t="s">
        <v>55</v>
      </c>
      <c r="S160" s="4" t="s">
        <v>60</v>
      </c>
    </row>
    <row r="161" spans="1:19" x14ac:dyDescent="0.2">
      <c r="A161" s="4" t="s">
        <v>238</v>
      </c>
      <c r="B161" s="9">
        <v>46137</v>
      </c>
      <c r="C161" s="4" t="s">
        <v>98</v>
      </c>
      <c r="D161" s="4" t="s">
        <v>59</v>
      </c>
      <c r="E161" s="4">
        <v>3</v>
      </c>
      <c r="F161" s="4">
        <v>1409581</v>
      </c>
      <c r="G161" s="4">
        <v>75000</v>
      </c>
      <c r="H161" s="4">
        <v>15000</v>
      </c>
      <c r="I161" s="4">
        <v>4318743</v>
      </c>
      <c r="J161" s="4">
        <v>2358261</v>
      </c>
      <c r="K161" s="4">
        <v>378717</v>
      </c>
      <c r="L161" s="4">
        <v>324846</v>
      </c>
      <c r="M161" s="4">
        <v>3061824</v>
      </c>
      <c r="N161" s="4">
        <v>1256919</v>
      </c>
      <c r="O161" s="4">
        <v>0.2910381562412952</v>
      </c>
      <c r="P161" s="4" t="s">
        <v>76</v>
      </c>
      <c r="Q161" s="4">
        <v>45</v>
      </c>
      <c r="R161" s="4" t="s">
        <v>55</v>
      </c>
      <c r="S161" s="4" t="s">
        <v>60</v>
      </c>
    </row>
    <row r="162" spans="1:19" x14ac:dyDescent="0.2">
      <c r="A162" s="4" t="s">
        <v>239</v>
      </c>
      <c r="B162" s="9">
        <v>46259</v>
      </c>
      <c r="C162" s="4" t="s">
        <v>117</v>
      </c>
      <c r="D162" s="4" t="s">
        <v>53</v>
      </c>
      <c r="E162" s="4">
        <v>1</v>
      </c>
      <c r="F162" s="4">
        <v>1188404</v>
      </c>
      <c r="G162" s="4">
        <v>25000</v>
      </c>
      <c r="H162" s="4">
        <v>30000</v>
      </c>
      <c r="I162" s="4">
        <v>1243404</v>
      </c>
      <c r="J162" s="4">
        <v>599701</v>
      </c>
      <c r="K162" s="4">
        <v>128033</v>
      </c>
      <c r="L162" s="4">
        <v>100238</v>
      </c>
      <c r="M162" s="4">
        <v>827972</v>
      </c>
      <c r="N162" s="4">
        <v>415432</v>
      </c>
      <c r="O162" s="4">
        <v>0.33410862438917682</v>
      </c>
      <c r="P162" s="4" t="s">
        <v>73</v>
      </c>
      <c r="Q162" s="4">
        <v>90</v>
      </c>
      <c r="R162" s="4" t="s">
        <v>55</v>
      </c>
      <c r="S162" s="4" t="s">
        <v>60</v>
      </c>
    </row>
    <row r="163" spans="1:19" x14ac:dyDescent="0.2">
      <c r="A163" s="4" t="s">
        <v>240</v>
      </c>
      <c r="B163" s="9">
        <v>46143</v>
      </c>
      <c r="C163" s="4" t="s">
        <v>101</v>
      </c>
      <c r="D163" s="4" t="s">
        <v>63</v>
      </c>
      <c r="E163" s="4">
        <v>1</v>
      </c>
      <c r="F163" s="4">
        <v>1747654</v>
      </c>
      <c r="G163" s="4">
        <v>100000</v>
      </c>
      <c r="H163" s="4">
        <v>15000</v>
      </c>
      <c r="I163" s="4">
        <v>1862654</v>
      </c>
      <c r="J163" s="4">
        <v>1055898</v>
      </c>
      <c r="K163" s="4">
        <v>183518</v>
      </c>
      <c r="L163" s="4">
        <v>130012</v>
      </c>
      <c r="M163" s="4">
        <v>1369428</v>
      </c>
      <c r="N163" s="4">
        <v>493226</v>
      </c>
      <c r="O163" s="4">
        <v>0.26479743419872942</v>
      </c>
      <c r="P163" s="4" t="s">
        <v>67</v>
      </c>
      <c r="Q163" s="4">
        <v>75</v>
      </c>
      <c r="R163" s="4" t="s">
        <v>55</v>
      </c>
      <c r="S163" s="4" t="s">
        <v>60</v>
      </c>
    </row>
    <row r="164" spans="1:19" x14ac:dyDescent="0.2">
      <c r="A164" s="4" t="s">
        <v>241</v>
      </c>
      <c r="B164" s="9">
        <v>46168</v>
      </c>
      <c r="C164" s="4" t="s">
        <v>52</v>
      </c>
      <c r="D164" s="4" t="s">
        <v>59</v>
      </c>
      <c r="E164" s="4">
        <v>1</v>
      </c>
      <c r="F164" s="4">
        <v>1432779</v>
      </c>
      <c r="G164" s="4">
        <v>50000</v>
      </c>
      <c r="H164" s="4">
        <v>0</v>
      </c>
      <c r="I164" s="4">
        <v>1482779</v>
      </c>
      <c r="J164" s="4">
        <v>765006</v>
      </c>
      <c r="K164" s="4">
        <v>144392</v>
      </c>
      <c r="L164" s="4">
        <v>111781</v>
      </c>
      <c r="M164" s="4">
        <v>1021179</v>
      </c>
      <c r="N164" s="4">
        <v>461600</v>
      </c>
      <c r="O164" s="4">
        <v>0.31130734924085107</v>
      </c>
      <c r="P164" s="4" t="s">
        <v>76</v>
      </c>
      <c r="Q164" s="4">
        <v>15</v>
      </c>
      <c r="R164" s="4" t="s">
        <v>55</v>
      </c>
      <c r="S164" s="4" t="s">
        <v>87</v>
      </c>
    </row>
    <row r="165" spans="1:19" x14ac:dyDescent="0.2">
      <c r="A165" s="4" t="s">
        <v>242</v>
      </c>
      <c r="B165" s="9">
        <v>46242</v>
      </c>
      <c r="C165" s="4" t="s">
        <v>75</v>
      </c>
      <c r="D165" s="4" t="s">
        <v>59</v>
      </c>
      <c r="E165" s="4">
        <v>1</v>
      </c>
      <c r="F165" s="4">
        <v>1345371</v>
      </c>
      <c r="G165" s="4">
        <v>25000</v>
      </c>
      <c r="H165" s="4">
        <v>50000</v>
      </c>
      <c r="I165" s="4">
        <v>1420371</v>
      </c>
      <c r="J165" s="4">
        <v>699792</v>
      </c>
      <c r="K165" s="4">
        <v>144211</v>
      </c>
      <c r="L165" s="4">
        <v>101813</v>
      </c>
      <c r="M165" s="4">
        <v>945816</v>
      </c>
      <c r="N165" s="4">
        <v>474555</v>
      </c>
      <c r="O165" s="4">
        <v>0.33410637080030497</v>
      </c>
      <c r="P165" s="4" t="s">
        <v>54</v>
      </c>
      <c r="Q165" s="4">
        <v>75</v>
      </c>
      <c r="R165" s="4" t="s">
        <v>55</v>
      </c>
      <c r="S165" s="4" t="s">
        <v>56</v>
      </c>
    </row>
    <row r="166" spans="1:19" x14ac:dyDescent="0.2">
      <c r="A166" s="4" t="s">
        <v>243</v>
      </c>
      <c r="B166" s="9">
        <v>46229</v>
      </c>
      <c r="C166" s="4" t="s">
        <v>98</v>
      </c>
      <c r="D166" s="4" t="s">
        <v>59</v>
      </c>
      <c r="E166" s="4">
        <v>1</v>
      </c>
      <c r="F166" s="4">
        <v>1405532</v>
      </c>
      <c r="G166" s="4">
        <v>0</v>
      </c>
      <c r="H166" s="4">
        <v>30000</v>
      </c>
      <c r="I166" s="4">
        <v>1435532</v>
      </c>
      <c r="J166" s="4">
        <v>661398</v>
      </c>
      <c r="K166" s="4">
        <v>142183</v>
      </c>
      <c r="L166" s="4">
        <v>118527</v>
      </c>
      <c r="M166" s="4">
        <v>922108</v>
      </c>
      <c r="N166" s="4">
        <v>513424</v>
      </c>
      <c r="O166" s="4">
        <v>0.35765416584234971</v>
      </c>
      <c r="P166" s="4" t="s">
        <v>67</v>
      </c>
      <c r="Q166" s="4">
        <v>15</v>
      </c>
      <c r="R166" s="4" t="s">
        <v>55</v>
      </c>
      <c r="S166" s="4" t="s">
        <v>56</v>
      </c>
    </row>
    <row r="167" spans="1:19" x14ac:dyDescent="0.2">
      <c r="A167" s="4" t="s">
        <v>244</v>
      </c>
      <c r="B167" s="9">
        <v>46124</v>
      </c>
      <c r="C167" s="4" t="s">
        <v>71</v>
      </c>
      <c r="D167" s="4" t="s">
        <v>19</v>
      </c>
      <c r="E167" s="4">
        <v>1</v>
      </c>
      <c r="F167" s="4">
        <v>2656993</v>
      </c>
      <c r="G167" s="4">
        <v>75000</v>
      </c>
      <c r="H167" s="4">
        <v>0</v>
      </c>
      <c r="I167" s="4">
        <v>2731993</v>
      </c>
      <c r="J167" s="4">
        <v>1700613</v>
      </c>
      <c r="K167" s="4">
        <v>283411</v>
      </c>
      <c r="L167" s="4">
        <v>164733</v>
      </c>
      <c r="M167" s="4">
        <v>2148757</v>
      </c>
      <c r="N167" s="4">
        <v>583236</v>
      </c>
      <c r="O167" s="4">
        <v>0.21348370951170079</v>
      </c>
      <c r="P167" s="4" t="s">
        <v>67</v>
      </c>
      <c r="Q167" s="4">
        <v>30</v>
      </c>
      <c r="R167" s="4" t="s">
        <v>55</v>
      </c>
      <c r="S167" s="4" t="s">
        <v>60</v>
      </c>
    </row>
    <row r="168" spans="1:19" x14ac:dyDescent="0.2">
      <c r="A168" s="4" t="s">
        <v>245</v>
      </c>
      <c r="B168" s="9">
        <v>46278</v>
      </c>
      <c r="C168" s="4" t="s">
        <v>101</v>
      </c>
      <c r="D168" s="4" t="s">
        <v>19</v>
      </c>
      <c r="E168" s="4">
        <v>1</v>
      </c>
      <c r="F168" s="4">
        <v>2981402</v>
      </c>
      <c r="G168" s="4">
        <v>0</v>
      </c>
      <c r="H168" s="4">
        <v>50000</v>
      </c>
      <c r="I168" s="4">
        <v>3031402</v>
      </c>
      <c r="J168" s="4">
        <v>1534755</v>
      </c>
      <c r="K168" s="4">
        <v>282319</v>
      </c>
      <c r="L168" s="4">
        <v>176948</v>
      </c>
      <c r="M168" s="4">
        <v>1994022</v>
      </c>
      <c r="N168" s="4">
        <v>1037380</v>
      </c>
      <c r="O168" s="4">
        <v>0.34221129365224412</v>
      </c>
      <c r="P168" s="4" t="s">
        <v>67</v>
      </c>
      <c r="Q168" s="4">
        <v>45</v>
      </c>
      <c r="R168" s="4" t="s">
        <v>68</v>
      </c>
      <c r="S168" s="4" t="s">
        <v>64</v>
      </c>
    </row>
    <row r="169" spans="1:19" x14ac:dyDescent="0.2">
      <c r="A169" s="4" t="s">
        <v>246</v>
      </c>
      <c r="B169" s="9">
        <v>46248</v>
      </c>
      <c r="C169" s="4" t="s">
        <v>66</v>
      </c>
      <c r="D169" s="4" t="s">
        <v>59</v>
      </c>
      <c r="E169" s="4">
        <v>1</v>
      </c>
      <c r="F169" s="4">
        <v>1359647</v>
      </c>
      <c r="G169" s="4">
        <v>100000</v>
      </c>
      <c r="H169" s="4">
        <v>30000</v>
      </c>
      <c r="I169" s="4">
        <v>1489647</v>
      </c>
      <c r="J169" s="4">
        <v>653693</v>
      </c>
      <c r="K169" s="4">
        <v>126795</v>
      </c>
      <c r="L169" s="4">
        <v>106220</v>
      </c>
      <c r="M169" s="4">
        <v>886708</v>
      </c>
      <c r="N169" s="4">
        <v>602939</v>
      </c>
      <c r="O169" s="4">
        <v>0.4047529381121836</v>
      </c>
      <c r="P169" s="4" t="s">
        <v>54</v>
      </c>
      <c r="Q169" s="4">
        <v>30</v>
      </c>
      <c r="R169" s="4" t="s">
        <v>55</v>
      </c>
      <c r="S169" s="4" t="s">
        <v>64</v>
      </c>
    </row>
    <row r="170" spans="1:19" x14ac:dyDescent="0.2">
      <c r="A170" s="4" t="s">
        <v>247</v>
      </c>
      <c r="B170" s="9">
        <v>46201</v>
      </c>
      <c r="C170" s="4" t="s">
        <v>66</v>
      </c>
      <c r="D170" s="4" t="s">
        <v>59</v>
      </c>
      <c r="E170" s="4">
        <v>1</v>
      </c>
      <c r="F170" s="4">
        <v>1499732</v>
      </c>
      <c r="G170" s="4">
        <v>75000</v>
      </c>
      <c r="H170" s="4">
        <v>50000</v>
      </c>
      <c r="I170" s="4">
        <v>1624732</v>
      </c>
      <c r="J170" s="4">
        <v>756153</v>
      </c>
      <c r="K170" s="4">
        <v>129949</v>
      </c>
      <c r="L170" s="4">
        <v>118589</v>
      </c>
      <c r="M170" s="4">
        <v>1004691</v>
      </c>
      <c r="N170" s="4">
        <v>620041</v>
      </c>
      <c r="O170" s="4">
        <v>0.38162663134596969</v>
      </c>
      <c r="P170" s="4" t="s">
        <v>73</v>
      </c>
      <c r="Q170" s="4">
        <v>15</v>
      </c>
      <c r="R170" s="4" t="s">
        <v>55</v>
      </c>
      <c r="S170" s="4" t="s">
        <v>77</v>
      </c>
    </row>
    <row r="171" spans="1:19" x14ac:dyDescent="0.2">
      <c r="A171" s="4" t="s">
        <v>248</v>
      </c>
      <c r="B171" s="9">
        <v>46130</v>
      </c>
      <c r="C171" s="4" t="s">
        <v>52</v>
      </c>
      <c r="D171" s="4" t="s">
        <v>53</v>
      </c>
      <c r="E171" s="4">
        <v>1</v>
      </c>
      <c r="F171" s="4">
        <v>1203002</v>
      </c>
      <c r="G171" s="4">
        <v>0</v>
      </c>
      <c r="H171" s="4">
        <v>30000</v>
      </c>
      <c r="I171" s="4">
        <v>1233002</v>
      </c>
      <c r="J171" s="4">
        <v>653730</v>
      </c>
      <c r="K171" s="4">
        <v>134166</v>
      </c>
      <c r="L171" s="4">
        <v>95384</v>
      </c>
      <c r="M171" s="4">
        <v>883280</v>
      </c>
      <c r="N171" s="4">
        <v>349722</v>
      </c>
      <c r="O171" s="4">
        <v>0.28363457642404472</v>
      </c>
      <c r="P171" s="4" t="s">
        <v>67</v>
      </c>
      <c r="Q171" s="4">
        <v>75</v>
      </c>
      <c r="R171" s="4" t="s">
        <v>68</v>
      </c>
      <c r="S171" s="4" t="s">
        <v>77</v>
      </c>
    </row>
    <row r="172" spans="1:19" x14ac:dyDescent="0.2">
      <c r="A172" s="4" t="s">
        <v>249</v>
      </c>
      <c r="B172" s="9">
        <v>46241</v>
      </c>
      <c r="C172" s="4" t="s">
        <v>101</v>
      </c>
      <c r="D172" s="4" t="s">
        <v>63</v>
      </c>
      <c r="E172" s="4">
        <v>1</v>
      </c>
      <c r="F172" s="4">
        <v>1922932</v>
      </c>
      <c r="G172" s="4">
        <v>50000</v>
      </c>
      <c r="H172" s="4">
        <v>0</v>
      </c>
      <c r="I172" s="4">
        <v>1972932</v>
      </c>
      <c r="J172" s="4">
        <v>983460</v>
      </c>
      <c r="K172" s="4">
        <v>187986</v>
      </c>
      <c r="L172" s="4">
        <v>139094</v>
      </c>
      <c r="M172" s="4">
        <v>1310540</v>
      </c>
      <c r="N172" s="4">
        <v>662392</v>
      </c>
      <c r="O172" s="4">
        <v>0.33573990385882541</v>
      </c>
      <c r="P172" s="4" t="s">
        <v>67</v>
      </c>
      <c r="Q172" s="4">
        <v>30</v>
      </c>
      <c r="R172" s="4" t="s">
        <v>55</v>
      </c>
      <c r="S172" s="4" t="s">
        <v>77</v>
      </c>
    </row>
    <row r="173" spans="1:19" x14ac:dyDescent="0.2">
      <c r="A173" s="4" t="s">
        <v>250</v>
      </c>
      <c r="B173" s="9">
        <v>46218</v>
      </c>
      <c r="C173" s="4" t="s">
        <v>71</v>
      </c>
      <c r="D173" s="4" t="s">
        <v>63</v>
      </c>
      <c r="E173" s="4">
        <v>1</v>
      </c>
      <c r="F173" s="4">
        <v>1832292</v>
      </c>
      <c r="G173" s="4">
        <v>75000</v>
      </c>
      <c r="H173" s="4">
        <v>50000</v>
      </c>
      <c r="I173" s="4">
        <v>1957292</v>
      </c>
      <c r="J173" s="4">
        <v>986416</v>
      </c>
      <c r="K173" s="4">
        <v>195084</v>
      </c>
      <c r="L173" s="4">
        <v>122008</v>
      </c>
      <c r="M173" s="4">
        <v>1303508</v>
      </c>
      <c r="N173" s="4">
        <v>653784</v>
      </c>
      <c r="O173" s="4">
        <v>0.33402476482814009</v>
      </c>
      <c r="P173" s="4" t="s">
        <v>54</v>
      </c>
      <c r="Q173" s="4">
        <v>45</v>
      </c>
      <c r="R173" s="4" t="s">
        <v>55</v>
      </c>
      <c r="S173" s="4" t="s">
        <v>60</v>
      </c>
    </row>
    <row r="174" spans="1:19" x14ac:dyDescent="0.2">
      <c r="A174" s="4" t="s">
        <v>251</v>
      </c>
      <c r="B174" s="9">
        <v>46210</v>
      </c>
      <c r="C174" s="4" t="s">
        <v>75</v>
      </c>
      <c r="D174" s="4" t="s">
        <v>63</v>
      </c>
      <c r="E174" s="4">
        <v>1</v>
      </c>
      <c r="F174" s="4">
        <v>1794881</v>
      </c>
      <c r="G174" s="4">
        <v>25000</v>
      </c>
      <c r="H174" s="4">
        <v>0</v>
      </c>
      <c r="I174" s="4">
        <v>1819881</v>
      </c>
      <c r="J174" s="4">
        <v>930978</v>
      </c>
      <c r="K174" s="4">
        <v>170274</v>
      </c>
      <c r="L174" s="4">
        <v>132384</v>
      </c>
      <c r="M174" s="4">
        <v>1233636</v>
      </c>
      <c r="N174" s="4">
        <v>586245</v>
      </c>
      <c r="O174" s="4">
        <v>0.32213369995071112</v>
      </c>
      <c r="P174" s="4" t="s">
        <v>67</v>
      </c>
      <c r="Q174" s="4">
        <v>90</v>
      </c>
      <c r="R174" s="4" t="s">
        <v>68</v>
      </c>
      <c r="S174" s="4" t="s">
        <v>56</v>
      </c>
    </row>
    <row r="175" spans="1:19" x14ac:dyDescent="0.2">
      <c r="A175" s="4" t="s">
        <v>252</v>
      </c>
      <c r="B175" s="9">
        <v>46256</v>
      </c>
      <c r="C175" s="4" t="s">
        <v>101</v>
      </c>
      <c r="D175" s="4" t="s">
        <v>19</v>
      </c>
      <c r="E175" s="4">
        <v>3</v>
      </c>
      <c r="F175" s="4">
        <v>2850456</v>
      </c>
      <c r="G175" s="4">
        <v>0</v>
      </c>
      <c r="H175" s="4">
        <v>30000</v>
      </c>
      <c r="I175" s="4">
        <v>8581368</v>
      </c>
      <c r="J175" s="4">
        <v>4317492</v>
      </c>
      <c r="K175" s="4">
        <v>720534</v>
      </c>
      <c r="L175" s="4">
        <v>510156</v>
      </c>
      <c r="M175" s="4">
        <v>5548182</v>
      </c>
      <c r="N175" s="4">
        <v>3033186</v>
      </c>
      <c r="O175" s="4">
        <v>0.35346182566695661</v>
      </c>
      <c r="P175" s="4" t="s">
        <v>89</v>
      </c>
      <c r="Q175" s="4">
        <v>15</v>
      </c>
      <c r="R175" s="4" t="s">
        <v>55</v>
      </c>
      <c r="S175" s="4" t="s">
        <v>60</v>
      </c>
    </row>
    <row r="176" spans="1:19" x14ac:dyDescent="0.2">
      <c r="A176" s="4" t="s">
        <v>253</v>
      </c>
      <c r="B176" s="9">
        <v>46161</v>
      </c>
      <c r="C176" s="4" t="s">
        <v>83</v>
      </c>
      <c r="D176" s="4" t="s">
        <v>53</v>
      </c>
      <c r="E176" s="4">
        <v>1</v>
      </c>
      <c r="F176" s="4">
        <v>1241176</v>
      </c>
      <c r="G176" s="4">
        <v>100000</v>
      </c>
      <c r="H176" s="4">
        <v>50000</v>
      </c>
      <c r="I176" s="4">
        <v>1391176</v>
      </c>
      <c r="J176" s="4">
        <v>645162</v>
      </c>
      <c r="K176" s="4">
        <v>134208</v>
      </c>
      <c r="L176" s="4">
        <v>94139</v>
      </c>
      <c r="M176" s="4">
        <v>873509</v>
      </c>
      <c r="N176" s="4">
        <v>517667</v>
      </c>
      <c r="O176" s="4">
        <v>0.37210748316532199</v>
      </c>
      <c r="P176" s="4" t="s">
        <v>67</v>
      </c>
      <c r="Q176" s="4">
        <v>30</v>
      </c>
      <c r="R176" s="4" t="s">
        <v>55</v>
      </c>
      <c r="S176" s="4" t="s">
        <v>69</v>
      </c>
    </row>
    <row r="177" spans="1:19" x14ac:dyDescent="0.2">
      <c r="A177" s="4" t="s">
        <v>254</v>
      </c>
      <c r="B177" s="9">
        <v>46116</v>
      </c>
      <c r="C177" s="4" t="s">
        <v>66</v>
      </c>
      <c r="D177" s="4" t="s">
        <v>59</v>
      </c>
      <c r="E177" s="4">
        <v>2</v>
      </c>
      <c r="F177" s="4">
        <v>1504567</v>
      </c>
      <c r="G177" s="4">
        <v>25000</v>
      </c>
      <c r="H177" s="4">
        <v>50000</v>
      </c>
      <c r="I177" s="4">
        <v>3084134</v>
      </c>
      <c r="J177" s="4">
        <v>1339716</v>
      </c>
      <c r="K177" s="4">
        <v>321970</v>
      </c>
      <c r="L177" s="4">
        <v>221178</v>
      </c>
      <c r="M177" s="4">
        <v>1882864</v>
      </c>
      <c r="N177" s="4">
        <v>1201270</v>
      </c>
      <c r="O177" s="4">
        <v>0.38949993742165551</v>
      </c>
      <c r="P177" s="4" t="s">
        <v>73</v>
      </c>
      <c r="Q177" s="4">
        <v>60</v>
      </c>
      <c r="R177" s="4" t="s">
        <v>55</v>
      </c>
      <c r="S177" s="4" t="s">
        <v>87</v>
      </c>
    </row>
    <row r="178" spans="1:19" x14ac:dyDescent="0.2">
      <c r="A178" s="4" t="s">
        <v>255</v>
      </c>
      <c r="B178" s="9">
        <v>46195</v>
      </c>
      <c r="C178" s="4" t="s">
        <v>83</v>
      </c>
      <c r="D178" s="4" t="s">
        <v>63</v>
      </c>
      <c r="E178" s="4">
        <v>1</v>
      </c>
      <c r="F178" s="4">
        <v>1826479</v>
      </c>
      <c r="G178" s="4">
        <v>75000</v>
      </c>
      <c r="H178" s="4">
        <v>30000</v>
      </c>
      <c r="I178" s="4">
        <v>1931479</v>
      </c>
      <c r="J178" s="4">
        <v>942259</v>
      </c>
      <c r="K178" s="4">
        <v>173770</v>
      </c>
      <c r="L178" s="4">
        <v>131666</v>
      </c>
      <c r="M178" s="4">
        <v>1247695</v>
      </c>
      <c r="N178" s="4">
        <v>683784</v>
      </c>
      <c r="O178" s="4">
        <v>0.35402093421673242</v>
      </c>
      <c r="P178" s="4" t="s">
        <v>67</v>
      </c>
      <c r="Q178" s="4">
        <v>90</v>
      </c>
      <c r="R178" s="4" t="s">
        <v>68</v>
      </c>
      <c r="S178" s="4" t="s">
        <v>77</v>
      </c>
    </row>
    <row r="179" spans="1:19" x14ac:dyDescent="0.2">
      <c r="A179" s="4" t="s">
        <v>256</v>
      </c>
      <c r="B179" s="9">
        <v>46207</v>
      </c>
      <c r="C179" s="4" t="s">
        <v>58</v>
      </c>
      <c r="D179" s="4" t="s">
        <v>63</v>
      </c>
      <c r="E179" s="4">
        <v>1</v>
      </c>
      <c r="F179" s="4">
        <v>1833756</v>
      </c>
      <c r="G179" s="4">
        <v>100000</v>
      </c>
      <c r="H179" s="4">
        <v>50000</v>
      </c>
      <c r="I179" s="4">
        <v>1983756</v>
      </c>
      <c r="J179" s="4">
        <v>916042</v>
      </c>
      <c r="K179" s="4">
        <v>168566</v>
      </c>
      <c r="L179" s="4">
        <v>124458</v>
      </c>
      <c r="M179" s="4">
        <v>1209066</v>
      </c>
      <c r="N179" s="4">
        <v>774690</v>
      </c>
      <c r="O179" s="4">
        <v>0.39051677726494588</v>
      </c>
      <c r="P179" s="4" t="s">
        <v>73</v>
      </c>
      <c r="Q179" s="4">
        <v>45</v>
      </c>
      <c r="R179" s="4" t="s">
        <v>55</v>
      </c>
      <c r="S179" s="4" t="s">
        <v>77</v>
      </c>
    </row>
    <row r="180" spans="1:19" x14ac:dyDescent="0.2">
      <c r="A180" s="4" t="s">
        <v>257</v>
      </c>
      <c r="B180" s="9">
        <v>46197</v>
      </c>
      <c r="C180" s="4" t="s">
        <v>62</v>
      </c>
      <c r="D180" s="4" t="s">
        <v>59</v>
      </c>
      <c r="E180" s="4">
        <v>1</v>
      </c>
      <c r="F180" s="4">
        <v>1479339</v>
      </c>
      <c r="G180" s="4">
        <v>50000</v>
      </c>
      <c r="H180" s="4">
        <v>30000</v>
      </c>
      <c r="I180" s="4">
        <v>1559339</v>
      </c>
      <c r="J180" s="4">
        <v>724100</v>
      </c>
      <c r="K180" s="4">
        <v>148911</v>
      </c>
      <c r="L180" s="4">
        <v>115573</v>
      </c>
      <c r="M180" s="4">
        <v>988584</v>
      </c>
      <c r="N180" s="4">
        <v>570755</v>
      </c>
      <c r="O180" s="4">
        <v>0.36602368054669321</v>
      </c>
      <c r="P180" s="4" t="s">
        <v>76</v>
      </c>
      <c r="Q180" s="4">
        <v>90</v>
      </c>
      <c r="R180" s="4" t="s">
        <v>55</v>
      </c>
      <c r="S180" s="4" t="s">
        <v>64</v>
      </c>
    </row>
    <row r="181" spans="1:19" x14ac:dyDescent="0.2">
      <c r="A181" s="4" t="s">
        <v>258</v>
      </c>
      <c r="B181" s="9">
        <v>46230</v>
      </c>
      <c r="C181" s="4" t="s">
        <v>71</v>
      </c>
      <c r="D181" s="4" t="s">
        <v>59</v>
      </c>
      <c r="E181" s="4">
        <v>1</v>
      </c>
      <c r="F181" s="4">
        <v>1385026</v>
      </c>
      <c r="G181" s="4">
        <v>100000</v>
      </c>
      <c r="H181" s="4">
        <v>0</v>
      </c>
      <c r="I181" s="4">
        <v>1485026</v>
      </c>
      <c r="J181" s="4">
        <v>673074</v>
      </c>
      <c r="K181" s="4">
        <v>145129</v>
      </c>
      <c r="L181" s="4">
        <v>103453</v>
      </c>
      <c r="M181" s="4">
        <v>921656</v>
      </c>
      <c r="N181" s="4">
        <v>563370</v>
      </c>
      <c r="O181" s="4">
        <v>0.37936709525624468</v>
      </c>
      <c r="P181" s="4" t="s">
        <v>54</v>
      </c>
      <c r="Q181" s="4">
        <v>15</v>
      </c>
      <c r="R181" s="4" t="s">
        <v>55</v>
      </c>
      <c r="S181" s="4" t="s">
        <v>56</v>
      </c>
    </row>
    <row r="182" spans="1:19" x14ac:dyDescent="0.2">
      <c r="A182" s="4" t="s">
        <v>259</v>
      </c>
      <c r="B182" s="9">
        <v>46114</v>
      </c>
      <c r="C182" s="4" t="s">
        <v>98</v>
      </c>
      <c r="D182" s="4" t="s">
        <v>19</v>
      </c>
      <c r="E182" s="4">
        <v>1</v>
      </c>
      <c r="F182" s="4">
        <v>2879235</v>
      </c>
      <c r="G182" s="4">
        <v>75000</v>
      </c>
      <c r="H182" s="4">
        <v>15000</v>
      </c>
      <c r="I182" s="4">
        <v>2969235</v>
      </c>
      <c r="J182" s="4">
        <v>1419062</v>
      </c>
      <c r="K182" s="4">
        <v>234439</v>
      </c>
      <c r="L182" s="4">
        <v>170661</v>
      </c>
      <c r="M182" s="4">
        <v>1824162</v>
      </c>
      <c r="N182" s="4">
        <v>1145073</v>
      </c>
      <c r="O182" s="4">
        <v>0.38564579765495149</v>
      </c>
      <c r="P182" s="4" t="s">
        <v>67</v>
      </c>
      <c r="Q182" s="4">
        <v>90</v>
      </c>
      <c r="R182" s="4" t="s">
        <v>68</v>
      </c>
      <c r="S182" s="4" t="s">
        <v>64</v>
      </c>
    </row>
    <row r="183" spans="1:19" x14ac:dyDescent="0.2">
      <c r="A183" s="4" t="s">
        <v>260</v>
      </c>
      <c r="B183" s="9">
        <v>46281</v>
      </c>
      <c r="C183" s="4" t="s">
        <v>58</v>
      </c>
      <c r="D183" s="4" t="s">
        <v>19</v>
      </c>
      <c r="E183" s="4">
        <v>1</v>
      </c>
      <c r="F183" s="4">
        <v>2840627</v>
      </c>
      <c r="G183" s="4">
        <v>100000</v>
      </c>
      <c r="H183" s="4">
        <v>15000</v>
      </c>
      <c r="I183" s="4">
        <v>2955627</v>
      </c>
      <c r="J183" s="4">
        <v>1523446</v>
      </c>
      <c r="K183" s="4">
        <v>226045</v>
      </c>
      <c r="L183" s="4">
        <v>190598</v>
      </c>
      <c r="M183" s="4">
        <v>1940089</v>
      </c>
      <c r="N183" s="4">
        <v>1015538</v>
      </c>
      <c r="O183" s="4">
        <v>0.34359477701347302</v>
      </c>
      <c r="P183" s="4" t="s">
        <v>67</v>
      </c>
      <c r="Q183" s="4">
        <v>90</v>
      </c>
      <c r="R183" s="4" t="s">
        <v>68</v>
      </c>
      <c r="S183" s="4" t="s">
        <v>56</v>
      </c>
    </row>
    <row r="184" spans="1:19" x14ac:dyDescent="0.2">
      <c r="A184" s="4" t="s">
        <v>261</v>
      </c>
      <c r="B184" s="9">
        <v>46137</v>
      </c>
      <c r="C184" s="4" t="s">
        <v>98</v>
      </c>
      <c r="D184" s="4" t="s">
        <v>59</v>
      </c>
      <c r="E184" s="4">
        <v>1</v>
      </c>
      <c r="F184" s="4">
        <v>1437477</v>
      </c>
      <c r="G184" s="4">
        <v>0</v>
      </c>
      <c r="H184" s="4">
        <v>15000</v>
      </c>
      <c r="I184" s="4">
        <v>1452477</v>
      </c>
      <c r="J184" s="4">
        <v>689043</v>
      </c>
      <c r="K184" s="4">
        <v>138405</v>
      </c>
      <c r="L184" s="4">
        <v>118237</v>
      </c>
      <c r="M184" s="4">
        <v>945685</v>
      </c>
      <c r="N184" s="4">
        <v>506792</v>
      </c>
      <c r="O184" s="4">
        <v>0.34891567990405348</v>
      </c>
      <c r="P184" s="4" t="s">
        <v>76</v>
      </c>
      <c r="Q184" s="4">
        <v>60</v>
      </c>
      <c r="R184" s="4" t="s">
        <v>55</v>
      </c>
      <c r="S184" s="4" t="s">
        <v>77</v>
      </c>
    </row>
    <row r="185" spans="1:19" x14ac:dyDescent="0.2">
      <c r="A185" s="4" t="s">
        <v>262</v>
      </c>
      <c r="B185" s="9">
        <v>46291</v>
      </c>
      <c r="C185" s="4" t="s">
        <v>52</v>
      </c>
      <c r="D185" s="4" t="s">
        <v>59</v>
      </c>
      <c r="E185" s="4">
        <v>1</v>
      </c>
      <c r="F185" s="4">
        <v>1478300</v>
      </c>
      <c r="G185" s="4">
        <v>0</v>
      </c>
      <c r="H185" s="4">
        <v>0</v>
      </c>
      <c r="I185" s="4">
        <v>1478300</v>
      </c>
      <c r="J185" s="4">
        <v>664647</v>
      </c>
      <c r="K185" s="4">
        <v>160708</v>
      </c>
      <c r="L185" s="4">
        <v>114727</v>
      </c>
      <c r="M185" s="4">
        <v>940082</v>
      </c>
      <c r="N185" s="4">
        <v>538218</v>
      </c>
      <c r="O185" s="4">
        <v>0.36407900967327328</v>
      </c>
      <c r="P185" s="4" t="s">
        <v>67</v>
      </c>
      <c r="Q185" s="4">
        <v>60</v>
      </c>
      <c r="R185" s="4" t="s">
        <v>68</v>
      </c>
      <c r="S185" s="4" t="s">
        <v>60</v>
      </c>
    </row>
    <row r="186" spans="1:19" x14ac:dyDescent="0.2">
      <c r="A186" s="4" t="s">
        <v>263</v>
      </c>
      <c r="B186" s="9">
        <v>46115</v>
      </c>
      <c r="C186" s="4" t="s">
        <v>66</v>
      </c>
      <c r="D186" s="4" t="s">
        <v>59</v>
      </c>
      <c r="E186" s="4">
        <v>1</v>
      </c>
      <c r="F186" s="4">
        <v>1481684</v>
      </c>
      <c r="G186" s="4">
        <v>0</v>
      </c>
      <c r="H186" s="4">
        <v>50000</v>
      </c>
      <c r="I186" s="4">
        <v>1531684</v>
      </c>
      <c r="J186" s="4">
        <v>744776</v>
      </c>
      <c r="K186" s="4">
        <v>137594</v>
      </c>
      <c r="L186" s="4">
        <v>122651</v>
      </c>
      <c r="M186" s="4">
        <v>1005021</v>
      </c>
      <c r="N186" s="4">
        <v>526663</v>
      </c>
      <c r="O186" s="4">
        <v>0.34384572796999902</v>
      </c>
      <c r="P186" s="4" t="s">
        <v>76</v>
      </c>
      <c r="Q186" s="4">
        <v>30</v>
      </c>
      <c r="R186" s="4" t="s">
        <v>55</v>
      </c>
      <c r="S186" s="4" t="s">
        <v>60</v>
      </c>
    </row>
    <row r="187" spans="1:19" x14ac:dyDescent="0.2">
      <c r="A187" s="4" t="s">
        <v>264</v>
      </c>
      <c r="B187" s="9">
        <v>46258</v>
      </c>
      <c r="C187" s="4" t="s">
        <v>52</v>
      </c>
      <c r="D187" s="4" t="s">
        <v>19</v>
      </c>
      <c r="E187" s="4">
        <v>1</v>
      </c>
      <c r="F187" s="4">
        <v>2994270</v>
      </c>
      <c r="G187" s="4">
        <v>0</v>
      </c>
      <c r="H187" s="4">
        <v>0</v>
      </c>
      <c r="I187" s="4">
        <v>2994270</v>
      </c>
      <c r="J187" s="4">
        <v>1606466</v>
      </c>
      <c r="K187" s="4">
        <v>242523</v>
      </c>
      <c r="L187" s="4">
        <v>183504</v>
      </c>
      <c r="M187" s="4">
        <v>2032493</v>
      </c>
      <c r="N187" s="4">
        <v>961777</v>
      </c>
      <c r="O187" s="4">
        <v>0.32120583648101209</v>
      </c>
      <c r="P187" s="4" t="s">
        <v>76</v>
      </c>
      <c r="Q187" s="4">
        <v>45</v>
      </c>
      <c r="R187" s="4" t="s">
        <v>55</v>
      </c>
      <c r="S187" s="4" t="s">
        <v>77</v>
      </c>
    </row>
    <row r="188" spans="1:19" x14ac:dyDescent="0.2">
      <c r="A188" s="4" t="s">
        <v>265</v>
      </c>
      <c r="B188" s="9">
        <v>46263</v>
      </c>
      <c r="C188" s="4" t="s">
        <v>71</v>
      </c>
      <c r="D188" s="4" t="s">
        <v>59</v>
      </c>
      <c r="E188" s="4">
        <v>1</v>
      </c>
      <c r="F188" s="4">
        <v>1455691</v>
      </c>
      <c r="G188" s="4">
        <v>25000</v>
      </c>
      <c r="H188" s="4">
        <v>50000</v>
      </c>
      <c r="I188" s="4">
        <v>1530691</v>
      </c>
      <c r="J188" s="4">
        <v>709758</v>
      </c>
      <c r="K188" s="4">
        <v>128692</v>
      </c>
      <c r="L188" s="4">
        <v>102931</v>
      </c>
      <c r="M188" s="4">
        <v>941381</v>
      </c>
      <c r="N188" s="4">
        <v>589310</v>
      </c>
      <c r="O188" s="4">
        <v>0.38499605733619652</v>
      </c>
      <c r="P188" s="4" t="s">
        <v>89</v>
      </c>
      <c r="Q188" s="4">
        <v>60</v>
      </c>
      <c r="R188" s="4" t="s">
        <v>55</v>
      </c>
      <c r="S188" s="4" t="s">
        <v>87</v>
      </c>
    </row>
    <row r="189" spans="1:19" x14ac:dyDescent="0.2">
      <c r="A189" s="4" t="s">
        <v>266</v>
      </c>
      <c r="B189" s="9">
        <v>46197</v>
      </c>
      <c r="C189" s="4" t="s">
        <v>83</v>
      </c>
      <c r="D189" s="4" t="s">
        <v>19</v>
      </c>
      <c r="E189" s="4">
        <v>1</v>
      </c>
      <c r="F189" s="4">
        <v>2686860</v>
      </c>
      <c r="G189" s="4">
        <v>50000</v>
      </c>
      <c r="H189" s="4">
        <v>0</v>
      </c>
      <c r="I189" s="4">
        <v>2736860</v>
      </c>
      <c r="J189" s="4">
        <v>1698897</v>
      </c>
      <c r="K189" s="4">
        <v>270260</v>
      </c>
      <c r="L189" s="4">
        <v>181831</v>
      </c>
      <c r="M189" s="4">
        <v>2150988</v>
      </c>
      <c r="N189" s="4">
        <v>585872</v>
      </c>
      <c r="O189" s="4">
        <v>0.2140672157143588</v>
      </c>
      <c r="P189" s="4" t="s">
        <v>67</v>
      </c>
      <c r="Q189" s="4">
        <v>30</v>
      </c>
      <c r="R189" s="4" t="s">
        <v>55</v>
      </c>
      <c r="S189" s="4" t="s">
        <v>87</v>
      </c>
    </row>
    <row r="190" spans="1:19" x14ac:dyDescent="0.2">
      <c r="A190" s="4" t="s">
        <v>267</v>
      </c>
      <c r="B190" s="9">
        <v>46270</v>
      </c>
      <c r="C190" s="4" t="s">
        <v>93</v>
      </c>
      <c r="D190" s="4" t="s">
        <v>19</v>
      </c>
      <c r="E190" s="4">
        <v>3</v>
      </c>
      <c r="F190" s="4">
        <v>2759939</v>
      </c>
      <c r="G190" s="4">
        <v>25000</v>
      </c>
      <c r="H190" s="4">
        <v>15000</v>
      </c>
      <c r="I190" s="4">
        <v>8319817</v>
      </c>
      <c r="J190" s="4">
        <v>4773519</v>
      </c>
      <c r="K190" s="4">
        <v>821913</v>
      </c>
      <c r="L190" s="4">
        <v>539523</v>
      </c>
      <c r="M190" s="4">
        <v>6134955</v>
      </c>
      <c r="N190" s="4">
        <v>2184862</v>
      </c>
      <c r="O190" s="4">
        <v>0.26260938191308769</v>
      </c>
      <c r="P190" s="4" t="s">
        <v>54</v>
      </c>
      <c r="Q190" s="4">
        <v>60</v>
      </c>
      <c r="R190" s="4" t="s">
        <v>55</v>
      </c>
      <c r="S190" s="4" t="s">
        <v>77</v>
      </c>
    </row>
    <row r="191" spans="1:19" x14ac:dyDescent="0.2">
      <c r="A191" s="4" t="s">
        <v>268</v>
      </c>
      <c r="B191" s="9">
        <v>46287</v>
      </c>
      <c r="C191" s="4" t="s">
        <v>58</v>
      </c>
      <c r="D191" s="4" t="s">
        <v>19</v>
      </c>
      <c r="E191" s="4">
        <v>1</v>
      </c>
      <c r="F191" s="4">
        <v>2874497</v>
      </c>
      <c r="G191" s="4">
        <v>25000</v>
      </c>
      <c r="H191" s="4">
        <v>30000</v>
      </c>
      <c r="I191" s="4">
        <v>2929497</v>
      </c>
      <c r="J191" s="4">
        <v>1641008</v>
      </c>
      <c r="K191" s="4">
        <v>269569</v>
      </c>
      <c r="L191" s="4">
        <v>165248</v>
      </c>
      <c r="M191" s="4">
        <v>2075825</v>
      </c>
      <c r="N191" s="4">
        <v>853672</v>
      </c>
      <c r="O191" s="4">
        <v>0.2914056576948193</v>
      </c>
      <c r="P191" s="4" t="s">
        <v>73</v>
      </c>
      <c r="Q191" s="4">
        <v>90</v>
      </c>
      <c r="R191" s="4" t="s">
        <v>55</v>
      </c>
      <c r="S191" s="4" t="s">
        <v>60</v>
      </c>
    </row>
    <row r="192" spans="1:19" x14ac:dyDescent="0.2">
      <c r="A192" s="4" t="s">
        <v>269</v>
      </c>
      <c r="B192" s="9">
        <v>46212</v>
      </c>
      <c r="C192" s="4" t="s">
        <v>101</v>
      </c>
      <c r="D192" s="4" t="s">
        <v>63</v>
      </c>
      <c r="E192" s="4">
        <v>1</v>
      </c>
      <c r="F192" s="4">
        <v>1715063</v>
      </c>
      <c r="G192" s="4">
        <v>0</v>
      </c>
      <c r="H192" s="4">
        <v>0</v>
      </c>
      <c r="I192" s="4">
        <v>1715063</v>
      </c>
      <c r="J192" s="4">
        <v>1053162</v>
      </c>
      <c r="K192" s="4">
        <v>182013</v>
      </c>
      <c r="L192" s="4">
        <v>138774</v>
      </c>
      <c r="M192" s="4">
        <v>1373949</v>
      </c>
      <c r="N192" s="4">
        <v>341114</v>
      </c>
      <c r="O192" s="4">
        <v>0.1988929852722611</v>
      </c>
      <c r="P192" s="4" t="s">
        <v>67</v>
      </c>
      <c r="Q192" s="4">
        <v>60</v>
      </c>
      <c r="R192" s="4" t="s">
        <v>68</v>
      </c>
      <c r="S192" s="4" t="s">
        <v>87</v>
      </c>
    </row>
    <row r="193" spans="1:19" x14ac:dyDescent="0.2">
      <c r="A193" s="4" t="s">
        <v>270</v>
      </c>
      <c r="B193" s="9">
        <v>46217</v>
      </c>
      <c r="C193" s="4" t="s">
        <v>62</v>
      </c>
      <c r="D193" s="4" t="s">
        <v>53</v>
      </c>
      <c r="E193" s="4">
        <v>1</v>
      </c>
      <c r="F193" s="4">
        <v>1187457</v>
      </c>
      <c r="G193" s="4">
        <v>75000</v>
      </c>
      <c r="H193" s="4">
        <v>0</v>
      </c>
      <c r="I193" s="4">
        <v>1262457</v>
      </c>
      <c r="J193" s="4">
        <v>581939</v>
      </c>
      <c r="K193" s="4">
        <v>125941</v>
      </c>
      <c r="L193" s="4">
        <v>97137</v>
      </c>
      <c r="M193" s="4">
        <v>805017</v>
      </c>
      <c r="N193" s="4">
        <v>457440</v>
      </c>
      <c r="O193" s="4">
        <v>0.36234105399233402</v>
      </c>
      <c r="P193" s="4" t="s">
        <v>67</v>
      </c>
      <c r="Q193" s="4">
        <v>60</v>
      </c>
      <c r="R193" s="4" t="s">
        <v>55</v>
      </c>
      <c r="S193" s="4" t="s">
        <v>87</v>
      </c>
    </row>
    <row r="194" spans="1:19" x14ac:dyDescent="0.2">
      <c r="A194" s="4" t="s">
        <v>271</v>
      </c>
      <c r="B194" s="9">
        <v>46175</v>
      </c>
      <c r="C194" s="4" t="s">
        <v>79</v>
      </c>
      <c r="D194" s="4" t="s">
        <v>59</v>
      </c>
      <c r="E194" s="4">
        <v>1</v>
      </c>
      <c r="F194" s="4">
        <v>1349222</v>
      </c>
      <c r="G194" s="4">
        <v>25000</v>
      </c>
      <c r="H194" s="4">
        <v>30000</v>
      </c>
      <c r="I194" s="4">
        <v>1404222</v>
      </c>
      <c r="J194" s="4">
        <v>691386</v>
      </c>
      <c r="K194" s="4">
        <v>135394</v>
      </c>
      <c r="L194" s="4">
        <v>102531</v>
      </c>
      <c r="M194" s="4">
        <v>929311</v>
      </c>
      <c r="N194" s="4">
        <v>474911</v>
      </c>
      <c r="O194" s="4">
        <v>0.33820222158604551</v>
      </c>
      <c r="P194" s="4" t="s">
        <v>67</v>
      </c>
      <c r="Q194" s="4">
        <v>45</v>
      </c>
      <c r="R194" s="4" t="s">
        <v>68</v>
      </c>
      <c r="S194" s="4" t="s">
        <v>69</v>
      </c>
    </row>
    <row r="195" spans="1:19" x14ac:dyDescent="0.2">
      <c r="A195" s="4" t="s">
        <v>272</v>
      </c>
      <c r="B195" s="9">
        <v>46177</v>
      </c>
      <c r="C195" s="4" t="s">
        <v>83</v>
      </c>
      <c r="D195" s="4" t="s">
        <v>59</v>
      </c>
      <c r="E195" s="4">
        <v>1</v>
      </c>
      <c r="F195" s="4">
        <v>1413177</v>
      </c>
      <c r="G195" s="4">
        <v>0</v>
      </c>
      <c r="H195" s="4">
        <v>30000</v>
      </c>
      <c r="I195" s="4">
        <v>1443177</v>
      </c>
      <c r="J195" s="4">
        <v>740766</v>
      </c>
      <c r="K195" s="4">
        <v>142025</v>
      </c>
      <c r="L195" s="4">
        <v>102278</v>
      </c>
      <c r="M195" s="4">
        <v>985069</v>
      </c>
      <c r="N195" s="4">
        <v>458108</v>
      </c>
      <c r="O195" s="4">
        <v>0.31743022512138153</v>
      </c>
      <c r="P195" s="4" t="s">
        <v>67</v>
      </c>
      <c r="Q195" s="4">
        <v>75</v>
      </c>
      <c r="R195" s="4" t="s">
        <v>68</v>
      </c>
      <c r="S195" s="4" t="s">
        <v>64</v>
      </c>
    </row>
    <row r="196" spans="1:19" x14ac:dyDescent="0.2">
      <c r="A196" s="4" t="s">
        <v>273</v>
      </c>
      <c r="B196" s="9">
        <v>46198</v>
      </c>
      <c r="C196" s="4" t="s">
        <v>117</v>
      </c>
      <c r="D196" s="4" t="s">
        <v>19</v>
      </c>
      <c r="E196" s="4">
        <v>2</v>
      </c>
      <c r="F196" s="4">
        <v>2968927</v>
      </c>
      <c r="G196" s="4">
        <v>25000</v>
      </c>
      <c r="H196" s="4">
        <v>30000</v>
      </c>
      <c r="I196" s="4">
        <v>5992854</v>
      </c>
      <c r="J196" s="4">
        <v>3389128</v>
      </c>
      <c r="K196" s="4">
        <v>467014</v>
      </c>
      <c r="L196" s="4">
        <v>349396</v>
      </c>
      <c r="M196" s="4">
        <v>4205538</v>
      </c>
      <c r="N196" s="4">
        <v>1787316</v>
      </c>
      <c r="O196" s="4">
        <v>0.29824120527548309</v>
      </c>
      <c r="P196" s="4" t="s">
        <v>67</v>
      </c>
      <c r="Q196" s="4">
        <v>60</v>
      </c>
      <c r="R196" s="4" t="s">
        <v>55</v>
      </c>
      <c r="S196" s="4" t="s">
        <v>60</v>
      </c>
    </row>
    <row r="197" spans="1:19" x14ac:dyDescent="0.2">
      <c r="A197" s="4" t="s">
        <v>274</v>
      </c>
      <c r="B197" s="9">
        <v>46290</v>
      </c>
      <c r="C197" s="4" t="s">
        <v>98</v>
      </c>
      <c r="D197" s="4" t="s">
        <v>19</v>
      </c>
      <c r="E197" s="4">
        <v>3</v>
      </c>
      <c r="F197" s="4">
        <v>2938533</v>
      </c>
      <c r="G197" s="4">
        <v>50000</v>
      </c>
      <c r="H197" s="4">
        <v>0</v>
      </c>
      <c r="I197" s="4">
        <v>8865599</v>
      </c>
      <c r="J197" s="4">
        <v>4492407</v>
      </c>
      <c r="K197" s="4">
        <v>727554</v>
      </c>
      <c r="L197" s="4">
        <v>579360</v>
      </c>
      <c r="M197" s="4">
        <v>5799321</v>
      </c>
      <c r="N197" s="4">
        <v>3066278</v>
      </c>
      <c r="O197" s="4">
        <v>0.34586247359033501</v>
      </c>
      <c r="P197" s="4" t="s">
        <v>76</v>
      </c>
      <c r="Q197" s="4">
        <v>30</v>
      </c>
      <c r="R197" s="4" t="s">
        <v>55</v>
      </c>
      <c r="S197" s="4" t="s">
        <v>87</v>
      </c>
    </row>
    <row r="198" spans="1:19" x14ac:dyDescent="0.2">
      <c r="A198" s="4" t="s">
        <v>275</v>
      </c>
      <c r="B198" s="9">
        <v>46159</v>
      </c>
      <c r="C198" s="4" t="s">
        <v>71</v>
      </c>
      <c r="D198" s="4" t="s">
        <v>53</v>
      </c>
      <c r="E198" s="4">
        <v>2</v>
      </c>
      <c r="F198" s="4">
        <v>1205552</v>
      </c>
      <c r="G198" s="4">
        <v>0</v>
      </c>
      <c r="H198" s="4">
        <v>30000</v>
      </c>
      <c r="I198" s="4">
        <v>2441104</v>
      </c>
      <c r="J198" s="4">
        <v>1316474</v>
      </c>
      <c r="K198" s="4">
        <v>242306</v>
      </c>
      <c r="L198" s="4">
        <v>192818</v>
      </c>
      <c r="M198" s="4">
        <v>1751598</v>
      </c>
      <c r="N198" s="4">
        <v>689506</v>
      </c>
      <c r="O198" s="4">
        <v>0.28245662618225198</v>
      </c>
      <c r="P198" s="4" t="s">
        <v>54</v>
      </c>
      <c r="Q198" s="4">
        <v>30</v>
      </c>
      <c r="R198" s="4" t="s">
        <v>55</v>
      </c>
      <c r="S198" s="4" t="s">
        <v>69</v>
      </c>
    </row>
    <row r="199" spans="1:19" x14ac:dyDescent="0.2">
      <c r="A199" s="4" t="s">
        <v>276</v>
      </c>
      <c r="B199" s="9">
        <v>46174</v>
      </c>
      <c r="C199" s="4" t="s">
        <v>62</v>
      </c>
      <c r="D199" s="4" t="s">
        <v>63</v>
      </c>
      <c r="E199" s="4">
        <v>1</v>
      </c>
      <c r="F199" s="4">
        <v>1872239</v>
      </c>
      <c r="G199" s="4">
        <v>75000</v>
      </c>
      <c r="H199" s="4">
        <v>50000</v>
      </c>
      <c r="I199" s="4">
        <v>1997239</v>
      </c>
      <c r="J199" s="4">
        <v>1023924</v>
      </c>
      <c r="K199" s="4">
        <v>165328</v>
      </c>
      <c r="L199" s="4">
        <v>145334</v>
      </c>
      <c r="M199" s="4">
        <v>1334586</v>
      </c>
      <c r="N199" s="4">
        <v>662653</v>
      </c>
      <c r="O199" s="4">
        <v>0.33178452854165169</v>
      </c>
      <c r="P199" s="4" t="s">
        <v>67</v>
      </c>
      <c r="Q199" s="4">
        <v>75</v>
      </c>
      <c r="R199" s="4" t="s">
        <v>55</v>
      </c>
      <c r="S199" s="4" t="s">
        <v>64</v>
      </c>
    </row>
    <row r="200" spans="1:19" x14ac:dyDescent="0.2">
      <c r="A200" s="4" t="s">
        <v>277</v>
      </c>
      <c r="B200" s="9">
        <v>46252</v>
      </c>
      <c r="C200" s="4" t="s">
        <v>71</v>
      </c>
      <c r="D200" s="4" t="s">
        <v>53</v>
      </c>
      <c r="E200" s="4">
        <v>2</v>
      </c>
      <c r="F200" s="4">
        <v>1188400</v>
      </c>
      <c r="G200" s="4">
        <v>0</v>
      </c>
      <c r="H200" s="4">
        <v>0</v>
      </c>
      <c r="I200" s="4">
        <v>2376800</v>
      </c>
      <c r="J200" s="4">
        <v>1362884</v>
      </c>
      <c r="K200" s="4">
        <v>248214</v>
      </c>
      <c r="L200" s="4">
        <v>208078</v>
      </c>
      <c r="M200" s="4">
        <v>1819176</v>
      </c>
      <c r="N200" s="4">
        <v>557624</v>
      </c>
      <c r="O200" s="4">
        <v>0.2346112420060586</v>
      </c>
      <c r="P200" s="4" t="s">
        <v>73</v>
      </c>
      <c r="Q200" s="4">
        <v>90</v>
      </c>
      <c r="R200" s="4" t="s">
        <v>55</v>
      </c>
      <c r="S200" s="4" t="s">
        <v>69</v>
      </c>
    </row>
    <row r="201" spans="1:19" x14ac:dyDescent="0.2">
      <c r="A201" s="4" t="s">
        <v>278</v>
      </c>
      <c r="B201" s="9">
        <v>46155</v>
      </c>
      <c r="C201" s="4" t="s">
        <v>62</v>
      </c>
      <c r="D201" s="4" t="s">
        <v>53</v>
      </c>
      <c r="E201" s="4">
        <v>1</v>
      </c>
      <c r="F201" s="4">
        <v>1236365</v>
      </c>
      <c r="G201" s="4">
        <v>75000</v>
      </c>
      <c r="H201" s="4">
        <v>0</v>
      </c>
      <c r="I201" s="4">
        <v>1311365</v>
      </c>
      <c r="J201" s="4">
        <v>650596</v>
      </c>
      <c r="K201" s="4">
        <v>137004</v>
      </c>
      <c r="L201" s="4">
        <v>97295</v>
      </c>
      <c r="M201" s="4">
        <v>884895</v>
      </c>
      <c r="N201" s="4">
        <v>426470</v>
      </c>
      <c r="O201" s="4">
        <v>0.32521075368032548</v>
      </c>
      <c r="P201" s="4" t="s">
        <v>67</v>
      </c>
      <c r="Q201" s="4">
        <v>45</v>
      </c>
      <c r="R201" s="4" t="s">
        <v>68</v>
      </c>
      <c r="S201" s="4" t="s">
        <v>87</v>
      </c>
    </row>
    <row r="202" spans="1:19" x14ac:dyDescent="0.2">
      <c r="A202" s="4" t="s">
        <v>279</v>
      </c>
      <c r="B202" s="9">
        <v>46255</v>
      </c>
      <c r="C202" s="4" t="s">
        <v>93</v>
      </c>
      <c r="D202" s="4" t="s">
        <v>59</v>
      </c>
      <c r="E202" s="4">
        <v>1</v>
      </c>
      <c r="F202" s="4">
        <v>1392662</v>
      </c>
      <c r="G202" s="4">
        <v>50000</v>
      </c>
      <c r="H202" s="4">
        <v>0</v>
      </c>
      <c r="I202" s="4">
        <v>1442662</v>
      </c>
      <c r="J202" s="4">
        <v>762872</v>
      </c>
      <c r="K202" s="4">
        <v>146600</v>
      </c>
      <c r="L202" s="4">
        <v>111111</v>
      </c>
      <c r="M202" s="4">
        <v>1020583</v>
      </c>
      <c r="N202" s="4">
        <v>422079</v>
      </c>
      <c r="O202" s="4">
        <v>0.29256956931006711</v>
      </c>
      <c r="P202" s="4" t="s">
        <v>54</v>
      </c>
      <c r="Q202" s="4">
        <v>45</v>
      </c>
      <c r="R202" s="4" t="s">
        <v>55</v>
      </c>
      <c r="S202" s="4" t="s">
        <v>56</v>
      </c>
    </row>
    <row r="203" spans="1:19" x14ac:dyDescent="0.2">
      <c r="A203" s="4" t="s">
        <v>280</v>
      </c>
      <c r="B203" s="9">
        <v>46142</v>
      </c>
      <c r="C203" s="4" t="s">
        <v>83</v>
      </c>
      <c r="D203" s="4" t="s">
        <v>59</v>
      </c>
      <c r="E203" s="4">
        <v>1</v>
      </c>
      <c r="F203" s="4">
        <v>1383241</v>
      </c>
      <c r="G203" s="4">
        <v>0</v>
      </c>
      <c r="H203" s="4">
        <v>30000</v>
      </c>
      <c r="I203" s="4">
        <v>1413241</v>
      </c>
      <c r="J203" s="4">
        <v>764566</v>
      </c>
      <c r="K203" s="4">
        <v>144239</v>
      </c>
      <c r="L203" s="4">
        <v>107428</v>
      </c>
      <c r="M203" s="4">
        <v>1016233</v>
      </c>
      <c r="N203" s="4">
        <v>397008</v>
      </c>
      <c r="O203" s="4">
        <v>0.28092023936469429</v>
      </c>
      <c r="P203" s="4" t="s">
        <v>73</v>
      </c>
      <c r="Q203" s="4">
        <v>60</v>
      </c>
      <c r="R203" s="4" t="s">
        <v>55</v>
      </c>
      <c r="S203" s="4" t="s">
        <v>56</v>
      </c>
    </row>
    <row r="204" spans="1:19" x14ac:dyDescent="0.2">
      <c r="A204" s="4" t="s">
        <v>281</v>
      </c>
      <c r="B204" s="9">
        <v>46189</v>
      </c>
      <c r="C204" s="4" t="s">
        <v>58</v>
      </c>
      <c r="D204" s="4" t="s">
        <v>53</v>
      </c>
      <c r="E204" s="4">
        <v>2</v>
      </c>
      <c r="F204" s="4">
        <v>1147334</v>
      </c>
      <c r="G204" s="4">
        <v>25000</v>
      </c>
      <c r="H204" s="4">
        <v>0</v>
      </c>
      <c r="I204" s="4">
        <v>2319668</v>
      </c>
      <c r="J204" s="4">
        <v>1351396</v>
      </c>
      <c r="K204" s="4">
        <v>254878</v>
      </c>
      <c r="L204" s="4">
        <v>209794</v>
      </c>
      <c r="M204" s="4">
        <v>1816068</v>
      </c>
      <c r="N204" s="4">
        <v>503600</v>
      </c>
      <c r="O204" s="4">
        <v>0.2171000332806246</v>
      </c>
      <c r="P204" s="4" t="s">
        <v>54</v>
      </c>
      <c r="Q204" s="4">
        <v>75</v>
      </c>
      <c r="R204" s="4" t="s">
        <v>55</v>
      </c>
      <c r="S204" s="4" t="s">
        <v>69</v>
      </c>
    </row>
    <row r="205" spans="1:19" x14ac:dyDescent="0.2">
      <c r="A205" s="4" t="s">
        <v>282</v>
      </c>
      <c r="B205" s="9">
        <v>46256</v>
      </c>
      <c r="C205" s="4" t="s">
        <v>75</v>
      </c>
      <c r="D205" s="4" t="s">
        <v>19</v>
      </c>
      <c r="E205" s="4">
        <v>2</v>
      </c>
      <c r="F205" s="4">
        <v>2722887</v>
      </c>
      <c r="G205" s="4">
        <v>75000</v>
      </c>
      <c r="H205" s="4">
        <v>30000</v>
      </c>
      <c r="I205" s="4">
        <v>5550774</v>
      </c>
      <c r="J205" s="4">
        <v>3043068</v>
      </c>
      <c r="K205" s="4">
        <v>473056</v>
      </c>
      <c r="L205" s="4">
        <v>374724</v>
      </c>
      <c r="M205" s="4">
        <v>3890848</v>
      </c>
      <c r="N205" s="4">
        <v>1659926</v>
      </c>
      <c r="O205" s="4">
        <v>0.29904406124263028</v>
      </c>
      <c r="P205" s="4" t="s">
        <v>67</v>
      </c>
      <c r="Q205" s="4">
        <v>75</v>
      </c>
      <c r="R205" s="4" t="s">
        <v>55</v>
      </c>
      <c r="S205" s="4" t="s">
        <v>87</v>
      </c>
    </row>
    <row r="206" spans="1:19" x14ac:dyDescent="0.2">
      <c r="A206" s="4" t="s">
        <v>283</v>
      </c>
      <c r="B206" s="9">
        <v>46222</v>
      </c>
      <c r="C206" s="4" t="s">
        <v>58</v>
      </c>
      <c r="D206" s="4" t="s">
        <v>19</v>
      </c>
      <c r="E206" s="4">
        <v>1</v>
      </c>
      <c r="F206" s="4">
        <v>2716200</v>
      </c>
      <c r="G206" s="4">
        <v>100000</v>
      </c>
      <c r="H206" s="4">
        <v>0</v>
      </c>
      <c r="I206" s="4">
        <v>2816200</v>
      </c>
      <c r="J206" s="4">
        <v>1483016</v>
      </c>
      <c r="K206" s="4">
        <v>268984</v>
      </c>
      <c r="L206" s="4">
        <v>193521</v>
      </c>
      <c r="M206" s="4">
        <v>1945521</v>
      </c>
      <c r="N206" s="4">
        <v>870679</v>
      </c>
      <c r="O206" s="4">
        <v>0.30916802783893188</v>
      </c>
      <c r="P206" s="4" t="s">
        <v>89</v>
      </c>
      <c r="Q206" s="4">
        <v>75</v>
      </c>
      <c r="R206" s="4" t="s">
        <v>55</v>
      </c>
      <c r="S206" s="4" t="s">
        <v>69</v>
      </c>
    </row>
    <row r="207" spans="1:19" x14ac:dyDescent="0.2">
      <c r="A207" s="4" t="s">
        <v>284</v>
      </c>
      <c r="B207" s="9">
        <v>46196</v>
      </c>
      <c r="C207" s="4" t="s">
        <v>79</v>
      </c>
      <c r="D207" s="4" t="s">
        <v>59</v>
      </c>
      <c r="E207" s="4">
        <v>1</v>
      </c>
      <c r="F207" s="4">
        <v>1367421</v>
      </c>
      <c r="G207" s="4">
        <v>100000</v>
      </c>
      <c r="H207" s="4">
        <v>30000</v>
      </c>
      <c r="I207" s="4">
        <v>1497421</v>
      </c>
      <c r="J207" s="4">
        <v>775694</v>
      </c>
      <c r="K207" s="4">
        <v>144470</v>
      </c>
      <c r="L207" s="4">
        <v>114466</v>
      </c>
      <c r="M207" s="4">
        <v>1034630</v>
      </c>
      <c r="N207" s="4">
        <v>462791</v>
      </c>
      <c r="O207" s="4">
        <v>0.30905870827242299</v>
      </c>
      <c r="P207" s="4" t="s">
        <v>54</v>
      </c>
      <c r="Q207" s="4">
        <v>75</v>
      </c>
      <c r="R207" s="4" t="s">
        <v>55</v>
      </c>
      <c r="S207" s="4" t="s">
        <v>69</v>
      </c>
    </row>
    <row r="208" spans="1:19" x14ac:dyDescent="0.2">
      <c r="A208" s="4" t="s">
        <v>285</v>
      </c>
      <c r="B208" s="9">
        <v>46203</v>
      </c>
      <c r="C208" s="4" t="s">
        <v>58</v>
      </c>
      <c r="D208" s="4" t="s">
        <v>19</v>
      </c>
      <c r="E208" s="4">
        <v>1</v>
      </c>
      <c r="F208" s="4">
        <v>2950985</v>
      </c>
      <c r="G208" s="4">
        <v>0</v>
      </c>
      <c r="H208" s="4">
        <v>0</v>
      </c>
      <c r="I208" s="4">
        <v>2950985</v>
      </c>
      <c r="J208" s="4">
        <v>1613020</v>
      </c>
      <c r="K208" s="4">
        <v>243590</v>
      </c>
      <c r="L208" s="4">
        <v>186333</v>
      </c>
      <c r="M208" s="4">
        <v>2042943</v>
      </c>
      <c r="N208" s="4">
        <v>908042</v>
      </c>
      <c r="O208" s="4">
        <v>0.30770810424315947</v>
      </c>
      <c r="P208" s="4" t="s">
        <v>67</v>
      </c>
      <c r="Q208" s="4">
        <v>30</v>
      </c>
      <c r="R208" s="4" t="s">
        <v>68</v>
      </c>
      <c r="S208" s="4" t="s">
        <v>69</v>
      </c>
    </row>
    <row r="209" spans="1:19" x14ac:dyDescent="0.2">
      <c r="A209" s="4" t="s">
        <v>286</v>
      </c>
      <c r="B209" s="9">
        <v>46290</v>
      </c>
      <c r="C209" s="4" t="s">
        <v>117</v>
      </c>
      <c r="D209" s="4" t="s">
        <v>59</v>
      </c>
      <c r="E209" s="4">
        <v>1</v>
      </c>
      <c r="F209" s="4">
        <v>1397974</v>
      </c>
      <c r="G209" s="4">
        <v>100000</v>
      </c>
      <c r="H209" s="4">
        <v>0</v>
      </c>
      <c r="I209" s="4">
        <v>1497974</v>
      </c>
      <c r="J209" s="4">
        <v>672777</v>
      </c>
      <c r="K209" s="4">
        <v>139429</v>
      </c>
      <c r="L209" s="4">
        <v>103495</v>
      </c>
      <c r="M209" s="4">
        <v>915701</v>
      </c>
      <c r="N209" s="4">
        <v>582273</v>
      </c>
      <c r="O209" s="4">
        <v>0.38870701360637772</v>
      </c>
      <c r="P209" s="4" t="s">
        <v>54</v>
      </c>
      <c r="Q209" s="4">
        <v>60</v>
      </c>
      <c r="R209" s="4" t="s">
        <v>55</v>
      </c>
      <c r="S209" s="4" t="s">
        <v>77</v>
      </c>
    </row>
    <row r="210" spans="1:19" x14ac:dyDescent="0.2">
      <c r="A210" s="4" t="s">
        <v>287</v>
      </c>
      <c r="B210" s="9">
        <v>46160</v>
      </c>
      <c r="C210" s="4" t="s">
        <v>71</v>
      </c>
      <c r="D210" s="4" t="s">
        <v>63</v>
      </c>
      <c r="E210" s="4">
        <v>2</v>
      </c>
      <c r="F210" s="4">
        <v>1848091</v>
      </c>
      <c r="G210" s="4">
        <v>25000</v>
      </c>
      <c r="H210" s="4">
        <v>30000</v>
      </c>
      <c r="I210" s="4">
        <v>3751182</v>
      </c>
      <c r="J210" s="4">
        <v>2076898</v>
      </c>
      <c r="K210" s="4">
        <v>409664</v>
      </c>
      <c r="L210" s="4">
        <v>261718</v>
      </c>
      <c r="M210" s="4">
        <v>2748280</v>
      </c>
      <c r="N210" s="4">
        <v>1002902</v>
      </c>
      <c r="O210" s="4">
        <v>0.26735626263934942</v>
      </c>
      <c r="P210" s="4" t="s">
        <v>76</v>
      </c>
      <c r="Q210" s="4">
        <v>75</v>
      </c>
      <c r="R210" s="4" t="s">
        <v>55</v>
      </c>
      <c r="S210" s="4" t="s">
        <v>64</v>
      </c>
    </row>
    <row r="211" spans="1:19" x14ac:dyDescent="0.2">
      <c r="A211" s="4" t="s">
        <v>288</v>
      </c>
      <c r="B211" s="9">
        <v>46217</v>
      </c>
      <c r="C211" s="4" t="s">
        <v>58</v>
      </c>
      <c r="D211" s="4" t="s">
        <v>19</v>
      </c>
      <c r="E211" s="4">
        <v>1</v>
      </c>
      <c r="F211" s="4">
        <v>2961237</v>
      </c>
      <c r="G211" s="4">
        <v>25000</v>
      </c>
      <c r="H211" s="4">
        <v>15000</v>
      </c>
      <c r="I211" s="4">
        <v>3001237</v>
      </c>
      <c r="J211" s="4">
        <v>1546964</v>
      </c>
      <c r="K211" s="4">
        <v>230166</v>
      </c>
      <c r="L211" s="4">
        <v>163222</v>
      </c>
      <c r="M211" s="4">
        <v>1940352</v>
      </c>
      <c r="N211" s="4">
        <v>1060885</v>
      </c>
      <c r="O211" s="4">
        <v>0.35348258068256522</v>
      </c>
      <c r="P211" s="4" t="s">
        <v>67</v>
      </c>
      <c r="Q211" s="4">
        <v>30</v>
      </c>
      <c r="R211" s="4" t="s">
        <v>68</v>
      </c>
      <c r="S211" s="4" t="s">
        <v>64</v>
      </c>
    </row>
    <row r="212" spans="1:19" x14ac:dyDescent="0.2">
      <c r="A212" s="4" t="s">
        <v>289</v>
      </c>
      <c r="B212" s="9">
        <v>46257</v>
      </c>
      <c r="C212" s="4" t="s">
        <v>62</v>
      </c>
      <c r="D212" s="4" t="s">
        <v>19</v>
      </c>
      <c r="E212" s="4">
        <v>1</v>
      </c>
      <c r="F212" s="4">
        <v>2676378</v>
      </c>
      <c r="G212" s="4">
        <v>50000</v>
      </c>
      <c r="H212" s="4">
        <v>50000</v>
      </c>
      <c r="I212" s="4">
        <v>2776378</v>
      </c>
      <c r="J212" s="4">
        <v>1433118</v>
      </c>
      <c r="K212" s="4">
        <v>273444</v>
      </c>
      <c r="L212" s="4">
        <v>194601</v>
      </c>
      <c r="M212" s="4">
        <v>1901163</v>
      </c>
      <c r="N212" s="4">
        <v>875215</v>
      </c>
      <c r="O212" s="4">
        <v>0.3152362538530416</v>
      </c>
      <c r="P212" s="4" t="s">
        <v>89</v>
      </c>
      <c r="Q212" s="4">
        <v>15</v>
      </c>
      <c r="R212" s="4" t="s">
        <v>55</v>
      </c>
      <c r="S212" s="4" t="s">
        <v>64</v>
      </c>
    </row>
    <row r="213" spans="1:19" x14ac:dyDescent="0.2">
      <c r="A213" s="4" t="s">
        <v>290</v>
      </c>
      <c r="B213" s="9">
        <v>46252</v>
      </c>
      <c r="C213" s="4" t="s">
        <v>79</v>
      </c>
      <c r="D213" s="4" t="s">
        <v>59</v>
      </c>
      <c r="E213" s="4">
        <v>3</v>
      </c>
      <c r="F213" s="4">
        <v>1336073</v>
      </c>
      <c r="G213" s="4">
        <v>0</v>
      </c>
      <c r="H213" s="4">
        <v>30000</v>
      </c>
      <c r="I213" s="4">
        <v>4038219</v>
      </c>
      <c r="J213" s="4">
        <v>2313210</v>
      </c>
      <c r="K213" s="4">
        <v>456891</v>
      </c>
      <c r="L213" s="4">
        <v>318612</v>
      </c>
      <c r="M213" s="4">
        <v>3088713</v>
      </c>
      <c r="N213" s="4">
        <v>949506</v>
      </c>
      <c r="O213" s="4">
        <v>0.23512989265812481</v>
      </c>
      <c r="P213" s="4" t="s">
        <v>67</v>
      </c>
      <c r="Q213" s="4">
        <v>15</v>
      </c>
      <c r="R213" s="4" t="s">
        <v>68</v>
      </c>
      <c r="S213" s="4" t="s">
        <v>77</v>
      </c>
    </row>
    <row r="214" spans="1:19" x14ac:dyDescent="0.2">
      <c r="A214" s="4" t="s">
        <v>291</v>
      </c>
      <c r="B214" s="9">
        <v>46166</v>
      </c>
      <c r="C214" s="4" t="s">
        <v>117</v>
      </c>
      <c r="D214" s="4" t="s">
        <v>63</v>
      </c>
      <c r="E214" s="4">
        <v>2</v>
      </c>
      <c r="F214" s="4">
        <v>1845785</v>
      </c>
      <c r="G214" s="4">
        <v>25000</v>
      </c>
      <c r="H214" s="4">
        <v>0</v>
      </c>
      <c r="I214" s="4">
        <v>3716570</v>
      </c>
      <c r="J214" s="4">
        <v>1910702</v>
      </c>
      <c r="K214" s="4">
        <v>379452</v>
      </c>
      <c r="L214" s="4">
        <v>278892</v>
      </c>
      <c r="M214" s="4">
        <v>2569046</v>
      </c>
      <c r="N214" s="4">
        <v>1147524</v>
      </c>
      <c r="O214" s="4">
        <v>0.30875888251802058</v>
      </c>
      <c r="P214" s="4" t="s">
        <v>54</v>
      </c>
      <c r="Q214" s="4">
        <v>75</v>
      </c>
      <c r="R214" s="4" t="s">
        <v>55</v>
      </c>
      <c r="S214" s="4" t="s">
        <v>87</v>
      </c>
    </row>
    <row r="215" spans="1:19" x14ac:dyDescent="0.2">
      <c r="A215" s="4" t="s">
        <v>292</v>
      </c>
      <c r="B215" s="9">
        <v>46250</v>
      </c>
      <c r="C215" s="4" t="s">
        <v>52</v>
      </c>
      <c r="D215" s="4" t="s">
        <v>59</v>
      </c>
      <c r="E215" s="4">
        <v>1</v>
      </c>
      <c r="F215" s="4">
        <v>1453994</v>
      </c>
      <c r="G215" s="4">
        <v>0</v>
      </c>
      <c r="H215" s="4">
        <v>0</v>
      </c>
      <c r="I215" s="4">
        <v>1453994</v>
      </c>
      <c r="J215" s="4">
        <v>694285</v>
      </c>
      <c r="K215" s="4">
        <v>135357</v>
      </c>
      <c r="L215" s="4">
        <v>119764</v>
      </c>
      <c r="M215" s="4">
        <v>949406</v>
      </c>
      <c r="N215" s="4">
        <v>504588</v>
      </c>
      <c r="O215" s="4">
        <v>0.34703581995524052</v>
      </c>
      <c r="P215" s="4" t="s">
        <v>76</v>
      </c>
      <c r="Q215" s="4">
        <v>60</v>
      </c>
      <c r="R215" s="4" t="s">
        <v>55</v>
      </c>
      <c r="S215" s="4" t="s">
        <v>69</v>
      </c>
    </row>
    <row r="216" spans="1:19" x14ac:dyDescent="0.2">
      <c r="A216" s="4" t="s">
        <v>293</v>
      </c>
      <c r="B216" s="9">
        <v>46280</v>
      </c>
      <c r="C216" s="4" t="s">
        <v>93</v>
      </c>
      <c r="D216" s="4" t="s">
        <v>59</v>
      </c>
      <c r="E216" s="4">
        <v>1</v>
      </c>
      <c r="F216" s="4">
        <v>1342007</v>
      </c>
      <c r="G216" s="4">
        <v>75000</v>
      </c>
      <c r="H216" s="4">
        <v>30000</v>
      </c>
      <c r="I216" s="4">
        <v>1447007</v>
      </c>
      <c r="J216" s="4">
        <v>673966</v>
      </c>
      <c r="K216" s="4">
        <v>137273</v>
      </c>
      <c r="L216" s="4">
        <v>104990</v>
      </c>
      <c r="M216" s="4">
        <v>916229</v>
      </c>
      <c r="N216" s="4">
        <v>530778</v>
      </c>
      <c r="O216" s="4">
        <v>0.36681094148127819</v>
      </c>
      <c r="P216" s="4" t="s">
        <v>67</v>
      </c>
      <c r="Q216" s="4">
        <v>90</v>
      </c>
      <c r="R216" s="4" t="s">
        <v>68</v>
      </c>
      <c r="S216" s="4" t="s">
        <v>64</v>
      </c>
    </row>
    <row r="217" spans="1:19" x14ac:dyDescent="0.2">
      <c r="A217" s="4" t="s">
        <v>294</v>
      </c>
      <c r="B217" s="9">
        <v>46228</v>
      </c>
      <c r="C217" s="4" t="s">
        <v>98</v>
      </c>
      <c r="D217" s="4" t="s">
        <v>53</v>
      </c>
      <c r="E217" s="4">
        <v>1</v>
      </c>
      <c r="F217" s="4">
        <v>1275861</v>
      </c>
      <c r="G217" s="4">
        <v>50000</v>
      </c>
      <c r="H217" s="4">
        <v>30000</v>
      </c>
      <c r="I217" s="4">
        <v>1355861</v>
      </c>
      <c r="J217" s="4">
        <v>581943</v>
      </c>
      <c r="K217" s="4">
        <v>123468</v>
      </c>
      <c r="L217" s="4">
        <v>96120</v>
      </c>
      <c r="M217" s="4">
        <v>801531</v>
      </c>
      <c r="N217" s="4">
        <v>554330</v>
      </c>
      <c r="O217" s="4">
        <v>0.40883984420231873</v>
      </c>
      <c r="P217" s="4" t="s">
        <v>76</v>
      </c>
      <c r="Q217" s="4">
        <v>45</v>
      </c>
      <c r="R217" s="4" t="s">
        <v>55</v>
      </c>
      <c r="S217" s="4" t="s">
        <v>56</v>
      </c>
    </row>
    <row r="218" spans="1:19" x14ac:dyDescent="0.2">
      <c r="A218" s="4" t="s">
        <v>295</v>
      </c>
      <c r="B218" s="9">
        <v>46136</v>
      </c>
      <c r="C218" s="4" t="s">
        <v>117</v>
      </c>
      <c r="D218" s="4" t="s">
        <v>19</v>
      </c>
      <c r="E218" s="4">
        <v>1</v>
      </c>
      <c r="F218" s="4">
        <v>2905337</v>
      </c>
      <c r="G218" s="4">
        <v>75000</v>
      </c>
      <c r="H218" s="4">
        <v>0</v>
      </c>
      <c r="I218" s="4">
        <v>2980337</v>
      </c>
      <c r="J218" s="4">
        <v>1656832</v>
      </c>
      <c r="K218" s="4">
        <v>274729</v>
      </c>
      <c r="L218" s="4">
        <v>177749</v>
      </c>
      <c r="M218" s="4">
        <v>2109310</v>
      </c>
      <c r="N218" s="4">
        <v>871027</v>
      </c>
      <c r="O218" s="4">
        <v>0.29225788895685278</v>
      </c>
      <c r="P218" s="4" t="s">
        <v>54</v>
      </c>
      <c r="Q218" s="4">
        <v>45</v>
      </c>
      <c r="R218" s="4" t="s">
        <v>55</v>
      </c>
      <c r="S218" s="4" t="s">
        <v>69</v>
      </c>
    </row>
    <row r="219" spans="1:19" x14ac:dyDescent="0.2">
      <c r="A219" s="4" t="s">
        <v>296</v>
      </c>
      <c r="B219" s="9">
        <v>46253</v>
      </c>
      <c r="C219" s="4" t="s">
        <v>52</v>
      </c>
      <c r="D219" s="4" t="s">
        <v>59</v>
      </c>
      <c r="E219" s="4">
        <v>1</v>
      </c>
      <c r="F219" s="4">
        <v>1411126</v>
      </c>
      <c r="G219" s="4">
        <v>0</v>
      </c>
      <c r="H219" s="4">
        <v>30000</v>
      </c>
      <c r="I219" s="4">
        <v>1441126</v>
      </c>
      <c r="J219" s="4">
        <v>702011</v>
      </c>
      <c r="K219" s="4">
        <v>149889</v>
      </c>
      <c r="L219" s="4">
        <v>100171</v>
      </c>
      <c r="M219" s="4">
        <v>952071</v>
      </c>
      <c r="N219" s="4">
        <v>489055</v>
      </c>
      <c r="O219" s="4">
        <v>0.33935617010587549</v>
      </c>
      <c r="P219" s="4" t="s">
        <v>67</v>
      </c>
      <c r="Q219" s="4">
        <v>30</v>
      </c>
      <c r="R219" s="4" t="s">
        <v>68</v>
      </c>
      <c r="S219" s="4" t="s">
        <v>64</v>
      </c>
    </row>
    <row r="220" spans="1:19" x14ac:dyDescent="0.2">
      <c r="A220" s="4" t="s">
        <v>297</v>
      </c>
      <c r="B220" s="9">
        <v>46164</v>
      </c>
      <c r="C220" s="4" t="s">
        <v>58</v>
      </c>
      <c r="D220" s="4" t="s">
        <v>59</v>
      </c>
      <c r="E220" s="4">
        <v>2</v>
      </c>
      <c r="F220" s="4">
        <v>1375165</v>
      </c>
      <c r="G220" s="4">
        <v>50000</v>
      </c>
      <c r="H220" s="4">
        <v>15000</v>
      </c>
      <c r="I220" s="4">
        <v>2815330</v>
      </c>
      <c r="J220" s="4">
        <v>1554736</v>
      </c>
      <c r="K220" s="4">
        <v>313360</v>
      </c>
      <c r="L220" s="4">
        <v>202516</v>
      </c>
      <c r="M220" s="4">
        <v>2070612</v>
      </c>
      <c r="N220" s="4">
        <v>744718</v>
      </c>
      <c r="O220" s="4">
        <v>0.26452245385088069</v>
      </c>
      <c r="P220" s="4" t="s">
        <v>67</v>
      </c>
      <c r="Q220" s="4">
        <v>90</v>
      </c>
      <c r="R220" s="4" t="s">
        <v>55</v>
      </c>
      <c r="S220" s="4" t="s">
        <v>56</v>
      </c>
    </row>
    <row r="221" spans="1:19" x14ac:dyDescent="0.2">
      <c r="A221" s="4" t="s">
        <v>298</v>
      </c>
      <c r="B221" s="9">
        <v>46214</v>
      </c>
      <c r="C221" s="4" t="s">
        <v>71</v>
      </c>
      <c r="D221" s="4" t="s">
        <v>63</v>
      </c>
      <c r="E221" s="4">
        <v>1</v>
      </c>
      <c r="F221" s="4">
        <v>1882318</v>
      </c>
      <c r="G221" s="4">
        <v>25000</v>
      </c>
      <c r="H221" s="4">
        <v>30000</v>
      </c>
      <c r="I221" s="4">
        <v>1937318</v>
      </c>
      <c r="J221" s="4">
        <v>955553</v>
      </c>
      <c r="K221" s="4">
        <v>166103</v>
      </c>
      <c r="L221" s="4">
        <v>119722</v>
      </c>
      <c r="M221" s="4">
        <v>1241378</v>
      </c>
      <c r="N221" s="4">
        <v>695940</v>
      </c>
      <c r="O221" s="4">
        <v>0.35922858302044369</v>
      </c>
      <c r="P221" s="4" t="s">
        <v>67</v>
      </c>
      <c r="Q221" s="4">
        <v>75</v>
      </c>
      <c r="R221" s="4" t="s">
        <v>68</v>
      </c>
      <c r="S221" s="4" t="s">
        <v>64</v>
      </c>
    </row>
  </sheetData>
  <autoFilter ref="A1:S2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"/>
  <sheetViews>
    <sheetView zoomScale="75" workbookViewId="0">
      <pane ySplit="1" topLeftCell="A2" activePane="bottomLeft" state="frozen"/>
      <selection pane="bottomLeft" activeCell="E1" sqref="E1"/>
    </sheetView>
  </sheetViews>
  <sheetFormatPr baseColWidth="10" defaultColWidth="8.83203125" defaultRowHeight="15" x14ac:dyDescent="0.2"/>
  <cols>
    <col min="1" max="2" width="12" customWidth="1"/>
    <col min="3" max="3" width="15" customWidth="1"/>
    <col min="4" max="4" width="13" customWidth="1"/>
    <col min="5" max="5" width="12" customWidth="1"/>
    <col min="6" max="6" width="14" customWidth="1"/>
    <col min="7" max="7" width="21" customWidth="1"/>
    <col min="8" max="8" width="20" customWidth="1"/>
    <col min="9" max="9" width="12" customWidth="1"/>
    <col min="10" max="10" width="21" customWidth="1"/>
    <col min="11" max="11" width="14" customWidth="1"/>
    <col min="12" max="15" width="12" customWidth="1"/>
    <col min="16" max="16" width="13" customWidth="1"/>
    <col min="17" max="17" width="21" customWidth="1"/>
  </cols>
  <sheetData>
    <row r="1" spans="1:17" x14ac:dyDescent="0.2">
      <c r="A1" s="5" t="s">
        <v>27</v>
      </c>
      <c r="B1" s="5" t="s">
        <v>17</v>
      </c>
      <c r="C1" s="5" t="s">
        <v>41</v>
      </c>
      <c r="D1" s="5" t="s">
        <v>42</v>
      </c>
      <c r="E1" s="5" t="s">
        <v>43</v>
      </c>
      <c r="F1" s="5" t="s">
        <v>45</v>
      </c>
      <c r="G1" s="5" t="s">
        <v>46</v>
      </c>
      <c r="H1" s="5" t="s">
        <v>299</v>
      </c>
      <c r="I1" s="5" t="s">
        <v>22</v>
      </c>
      <c r="J1" s="5" t="s">
        <v>300</v>
      </c>
      <c r="K1" s="5" t="s">
        <v>301</v>
      </c>
      <c r="L1" s="5" t="s">
        <v>302</v>
      </c>
      <c r="M1" s="5" t="s">
        <v>303</v>
      </c>
      <c r="N1" s="5" t="s">
        <v>304</v>
      </c>
      <c r="O1" s="5" t="s">
        <v>305</v>
      </c>
      <c r="P1" s="5" t="s">
        <v>306</v>
      </c>
      <c r="Q1" s="5" t="s">
        <v>307</v>
      </c>
    </row>
    <row r="2" spans="1:17" x14ac:dyDescent="0.2">
      <c r="A2" s="4" t="s">
        <v>28</v>
      </c>
      <c r="B2" s="4">
        <v>72528072</v>
      </c>
      <c r="C2" s="4">
        <v>37684722</v>
      </c>
      <c r="D2" s="4">
        <v>6830273</v>
      </c>
      <c r="E2" s="4">
        <v>5081602</v>
      </c>
      <c r="F2" s="4">
        <v>22931475</v>
      </c>
      <c r="G2" s="4">
        <v>0.31617378440722932</v>
      </c>
      <c r="H2" s="4">
        <v>720000</v>
      </c>
      <c r="I2" s="4">
        <v>22211475</v>
      </c>
      <c r="J2" s="4">
        <v>0.3062465937326998</v>
      </c>
      <c r="K2" s="4">
        <v>120000</v>
      </c>
      <c r="L2" s="4">
        <v>22091475</v>
      </c>
      <c r="M2" s="4">
        <v>85000</v>
      </c>
      <c r="N2" s="4">
        <v>22006475</v>
      </c>
      <c r="O2" s="4">
        <v>5501618.75</v>
      </c>
      <c r="P2" s="4">
        <v>16504856.25</v>
      </c>
      <c r="Q2" s="4">
        <v>0.22756507645756799</v>
      </c>
    </row>
    <row r="3" spans="1:17" x14ac:dyDescent="0.2">
      <c r="A3" s="4" t="s">
        <v>29</v>
      </c>
      <c r="B3" s="4">
        <v>111324530</v>
      </c>
      <c r="C3" s="4">
        <v>57763666</v>
      </c>
      <c r="D3" s="4">
        <v>10387873</v>
      </c>
      <c r="E3" s="4">
        <v>7719267</v>
      </c>
      <c r="F3" s="4">
        <v>35453724</v>
      </c>
      <c r="G3" s="4">
        <v>0.31847180491128058</v>
      </c>
      <c r="H3" s="4">
        <v>810000</v>
      </c>
      <c r="I3" s="4">
        <v>34643724</v>
      </c>
      <c r="J3" s="4">
        <v>0.31119578048072599</v>
      </c>
      <c r="K3" s="4">
        <v>120000</v>
      </c>
      <c r="L3" s="4">
        <v>34523724</v>
      </c>
      <c r="M3" s="4">
        <v>85000</v>
      </c>
      <c r="N3" s="4">
        <v>34438724</v>
      </c>
      <c r="O3" s="4">
        <v>8609681</v>
      </c>
      <c r="P3" s="4">
        <v>25829043</v>
      </c>
      <c r="Q3" s="4">
        <v>0.23201573813067081</v>
      </c>
    </row>
    <row r="4" spans="1:17" x14ac:dyDescent="0.2">
      <c r="A4" s="4" t="s">
        <v>30</v>
      </c>
      <c r="B4" s="4">
        <v>92184727</v>
      </c>
      <c r="C4" s="4">
        <v>47442621</v>
      </c>
      <c r="D4" s="4">
        <v>8539008</v>
      </c>
      <c r="E4" s="4">
        <v>6398486</v>
      </c>
      <c r="F4" s="4">
        <v>29804612</v>
      </c>
      <c r="G4" s="4">
        <v>0.32331399104756259</v>
      </c>
      <c r="H4" s="4">
        <v>790000</v>
      </c>
      <c r="I4" s="4">
        <v>29014612</v>
      </c>
      <c r="J4" s="4">
        <v>0.31474424174407978</v>
      </c>
      <c r="K4" s="4">
        <v>120000</v>
      </c>
      <c r="L4" s="4">
        <v>28894612</v>
      </c>
      <c r="M4" s="4">
        <v>85000</v>
      </c>
      <c r="N4" s="4">
        <v>28809612</v>
      </c>
      <c r="O4" s="4">
        <v>7202403</v>
      </c>
      <c r="P4" s="4">
        <v>21607209</v>
      </c>
      <c r="Q4" s="4">
        <v>0.23439033452905919</v>
      </c>
    </row>
    <row r="5" spans="1:17" x14ac:dyDescent="0.2">
      <c r="A5" s="4" t="s">
        <v>31</v>
      </c>
      <c r="B5" s="4">
        <v>103279423</v>
      </c>
      <c r="C5" s="4">
        <v>53857433</v>
      </c>
      <c r="D5" s="4">
        <v>9838235</v>
      </c>
      <c r="E5" s="4">
        <v>7152697</v>
      </c>
      <c r="F5" s="4">
        <v>32431058</v>
      </c>
      <c r="G5" s="4">
        <v>0.31401277290249768</v>
      </c>
      <c r="H5" s="4">
        <v>735000</v>
      </c>
      <c r="I5" s="4">
        <v>31696058</v>
      </c>
      <c r="J5" s="4">
        <v>0.30689615684626742</v>
      </c>
      <c r="K5" s="4">
        <v>120000</v>
      </c>
      <c r="L5" s="4">
        <v>31576058</v>
      </c>
      <c r="M5" s="4">
        <v>85000</v>
      </c>
      <c r="N5" s="4">
        <v>31491058</v>
      </c>
      <c r="O5" s="4">
        <v>7872764.5</v>
      </c>
      <c r="P5" s="4">
        <v>23618293.5</v>
      </c>
      <c r="Q5" s="4">
        <v>0.2286834377453871</v>
      </c>
    </row>
    <row r="6" spans="1:17" x14ac:dyDescent="0.2">
      <c r="A6" s="4" t="s">
        <v>32</v>
      </c>
      <c r="B6" s="4">
        <v>53491887</v>
      </c>
      <c r="C6" s="4">
        <v>27766738</v>
      </c>
      <c r="D6" s="4">
        <v>5351549</v>
      </c>
      <c r="E6" s="4">
        <v>3864494</v>
      </c>
      <c r="F6" s="4">
        <v>16509106</v>
      </c>
      <c r="G6" s="4">
        <v>0.30862822244427462</v>
      </c>
      <c r="H6" s="4">
        <v>760000</v>
      </c>
      <c r="I6" s="4">
        <v>15749106</v>
      </c>
      <c r="J6" s="4">
        <v>0.29442046043356068</v>
      </c>
      <c r="K6" s="4">
        <v>120000</v>
      </c>
      <c r="L6" s="4">
        <v>15629106</v>
      </c>
      <c r="M6" s="4">
        <v>85000</v>
      </c>
      <c r="N6" s="4">
        <v>15544106</v>
      </c>
      <c r="O6" s="4">
        <v>3886026.5</v>
      </c>
      <c r="P6" s="4">
        <v>11658079.5</v>
      </c>
      <c r="Q6" s="4">
        <v>0.21794107768155571</v>
      </c>
    </row>
    <row r="7" spans="1:17" x14ac:dyDescent="0.2">
      <c r="A7" s="4" t="s">
        <v>33</v>
      </c>
      <c r="B7" s="4">
        <v>97507506</v>
      </c>
      <c r="C7" s="4">
        <v>49929013</v>
      </c>
      <c r="D7" s="4">
        <v>9047583</v>
      </c>
      <c r="E7" s="4">
        <v>6603757</v>
      </c>
      <c r="F7" s="4">
        <v>31927153</v>
      </c>
      <c r="G7" s="4">
        <v>0.32743277220114719</v>
      </c>
      <c r="H7" s="4">
        <v>825000</v>
      </c>
      <c r="I7" s="4">
        <v>31102153</v>
      </c>
      <c r="J7" s="4">
        <v>0.31897188509774832</v>
      </c>
      <c r="K7" s="4">
        <v>120000</v>
      </c>
      <c r="L7" s="4">
        <v>30982153</v>
      </c>
      <c r="M7" s="4">
        <v>85000</v>
      </c>
      <c r="N7" s="4">
        <v>30897153</v>
      </c>
      <c r="O7" s="4">
        <v>7724288.25</v>
      </c>
      <c r="P7" s="4">
        <v>23172864.75</v>
      </c>
      <c r="Q7" s="4">
        <v>0.2376521121358596</v>
      </c>
    </row>
  </sheetData>
  <autoFilter ref="A1:Q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zoomScale="150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15" customWidth="1"/>
    <col min="2" max="3" width="12" customWidth="1"/>
    <col min="4" max="4" width="15" customWidth="1"/>
    <col min="5" max="5" width="13" customWidth="1"/>
    <col min="6" max="6" width="12" customWidth="1"/>
    <col min="7" max="7" width="14" customWidth="1"/>
    <col min="8" max="9" width="21" customWidth="1"/>
  </cols>
  <sheetData>
    <row r="1" spans="1:9" x14ac:dyDescent="0.2">
      <c r="A1" s="5" t="s">
        <v>18</v>
      </c>
      <c r="B1" s="5" t="s">
        <v>17</v>
      </c>
      <c r="C1" s="5" t="s">
        <v>37</v>
      </c>
      <c r="D1" s="5" t="s">
        <v>41</v>
      </c>
      <c r="E1" s="5" t="s">
        <v>42</v>
      </c>
      <c r="F1" s="5" t="s">
        <v>43</v>
      </c>
      <c r="G1" s="5" t="s">
        <v>45</v>
      </c>
      <c r="H1" s="5" t="s">
        <v>46</v>
      </c>
      <c r="I1" s="5" t="s">
        <v>308</v>
      </c>
    </row>
    <row r="2" spans="1:9" x14ac:dyDescent="0.2">
      <c r="A2" s="4" t="s">
        <v>63</v>
      </c>
      <c r="B2" s="4">
        <v>110700044</v>
      </c>
      <c r="C2" s="4">
        <v>59</v>
      </c>
      <c r="D2" s="4">
        <v>57587203</v>
      </c>
      <c r="E2" s="4">
        <v>10838327</v>
      </c>
      <c r="F2" s="4">
        <v>7787764</v>
      </c>
      <c r="G2" s="4">
        <v>34486750</v>
      </c>
      <c r="H2" s="4">
        <v>0.31153329984222949</v>
      </c>
      <c r="I2" s="4">
        <v>1876271.9322033899</v>
      </c>
    </row>
    <row r="3" spans="1:9" x14ac:dyDescent="0.2">
      <c r="A3" s="4" t="s">
        <v>19</v>
      </c>
      <c r="B3" s="4">
        <v>223839963</v>
      </c>
      <c r="C3" s="4">
        <v>77</v>
      </c>
      <c r="D3" s="4">
        <v>119282949</v>
      </c>
      <c r="E3" s="4">
        <v>19943177</v>
      </c>
      <c r="F3" s="4">
        <v>13966924</v>
      </c>
      <c r="G3" s="4">
        <v>70646913</v>
      </c>
      <c r="H3" s="4">
        <v>0.31561349480744871</v>
      </c>
      <c r="I3" s="4">
        <v>2907012.506493506</v>
      </c>
    </row>
    <row r="4" spans="1:9" x14ac:dyDescent="0.2">
      <c r="A4" s="4" t="s">
        <v>53</v>
      </c>
      <c r="B4" s="4">
        <v>77123059</v>
      </c>
      <c r="C4" s="4">
        <v>61</v>
      </c>
      <c r="D4" s="4">
        <v>38771851</v>
      </c>
      <c r="E4" s="4">
        <v>7533808</v>
      </c>
      <c r="F4" s="4">
        <v>6124188</v>
      </c>
      <c r="G4" s="4">
        <v>24693212</v>
      </c>
      <c r="H4" s="4">
        <v>0.32017936425472959</v>
      </c>
      <c r="I4" s="4">
        <v>1264312.442622951</v>
      </c>
    </row>
    <row r="5" spans="1:9" x14ac:dyDescent="0.2">
      <c r="A5" s="4" t="s">
        <v>59</v>
      </c>
      <c r="B5" s="4">
        <v>118653079</v>
      </c>
      <c r="C5" s="4">
        <v>81</v>
      </c>
      <c r="D5" s="4">
        <v>58802190</v>
      </c>
      <c r="E5" s="4">
        <v>11679209</v>
      </c>
      <c r="F5" s="4">
        <v>8941427</v>
      </c>
      <c r="G5" s="4">
        <v>39230253</v>
      </c>
      <c r="H5" s="4">
        <v>0.33062987771265512</v>
      </c>
      <c r="I5" s="4">
        <v>1464852.8271604939</v>
      </c>
    </row>
  </sheetData>
  <autoFilter ref="A1:I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zoomScale="133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2" customWidth="1"/>
  </cols>
  <sheetData>
    <row r="1" spans="1:2" x14ac:dyDescent="0.2">
      <c r="A1" s="5" t="s">
        <v>309</v>
      </c>
      <c r="B1" s="5" t="s">
        <v>310</v>
      </c>
    </row>
    <row r="2" spans="1:2" x14ac:dyDescent="0.2">
      <c r="A2" s="4" t="s">
        <v>311</v>
      </c>
      <c r="B2" s="4">
        <v>18250000</v>
      </c>
    </row>
    <row r="3" spans="1:2" x14ac:dyDescent="0.2">
      <c r="A3" s="4" t="s">
        <v>312</v>
      </c>
      <c r="B3" s="4">
        <v>12600000</v>
      </c>
    </row>
    <row r="4" spans="1:2" x14ac:dyDescent="0.2">
      <c r="A4" s="4" t="s">
        <v>313</v>
      </c>
      <c r="B4" s="4">
        <v>7400000</v>
      </c>
    </row>
    <row r="5" spans="1:2" x14ac:dyDescent="0.2">
      <c r="A5" s="4" t="s">
        <v>314</v>
      </c>
      <c r="B5" s="4">
        <v>21400000</v>
      </c>
    </row>
    <row r="6" spans="1:2" x14ac:dyDescent="0.2">
      <c r="A6" s="4" t="s">
        <v>315</v>
      </c>
      <c r="B6" s="4">
        <v>11800000</v>
      </c>
    </row>
    <row r="7" spans="1:2" x14ac:dyDescent="0.2">
      <c r="A7" s="4" t="s">
        <v>316</v>
      </c>
      <c r="B7" s="4">
        <v>47850000</v>
      </c>
    </row>
    <row r="8" spans="1:2" x14ac:dyDescent="0.2">
      <c r="A8" s="4" t="s">
        <v>317</v>
      </c>
      <c r="B8" s="4">
        <v>30850000</v>
      </c>
    </row>
  </sheetData>
  <autoFilter ref="A1:B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zoomScale="13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4" width="20" customWidth="1"/>
    <col min="5" max="5" width="21" customWidth="1"/>
  </cols>
  <sheetData>
    <row r="1" spans="1:5" x14ac:dyDescent="0.2">
      <c r="A1" s="5" t="s">
        <v>318</v>
      </c>
      <c r="B1" s="5" t="s">
        <v>17</v>
      </c>
      <c r="C1" s="5" t="s">
        <v>41</v>
      </c>
      <c r="D1" s="5" t="s">
        <v>45</v>
      </c>
      <c r="E1" s="5" t="s">
        <v>46</v>
      </c>
    </row>
    <row r="2" spans="1:5" x14ac:dyDescent="0.2">
      <c r="A2" s="4" t="s">
        <v>319</v>
      </c>
      <c r="B2" s="4">
        <v>530316145</v>
      </c>
      <c r="C2" s="4">
        <v>274444193</v>
      </c>
      <c r="D2" s="4">
        <v>169057128</v>
      </c>
      <c r="E2" s="4">
        <v>0.31878555762242539</v>
      </c>
    </row>
    <row r="3" spans="1:5" x14ac:dyDescent="0.2">
      <c r="A3" s="4" t="s">
        <v>320</v>
      </c>
      <c r="B3" s="4">
        <v>530316145</v>
      </c>
      <c r="C3" s="4">
        <v>288166402.64999998</v>
      </c>
      <c r="D3" s="4">
        <v>155334918.34999999</v>
      </c>
      <c r="E3" s="4">
        <v>0.29291003077041888</v>
      </c>
    </row>
    <row r="4" spans="1:5" x14ac:dyDescent="0.2">
      <c r="A4" s="4" t="s">
        <v>321</v>
      </c>
      <c r="B4" s="4">
        <v>530316145</v>
      </c>
      <c r="C4" s="4">
        <v>301888612.30000001</v>
      </c>
      <c r="D4" s="4">
        <v>141612708.69999999</v>
      </c>
      <c r="E4" s="4">
        <v>0.26703450391841271</v>
      </c>
    </row>
    <row r="5" spans="1:5" x14ac:dyDescent="0.2">
      <c r="A5" s="4" t="s">
        <v>322</v>
      </c>
      <c r="B5" s="4">
        <v>556831952.25</v>
      </c>
      <c r="C5" s="4">
        <v>274444193</v>
      </c>
      <c r="D5" s="4">
        <v>195572935.25</v>
      </c>
      <c r="E5" s="4">
        <v>0.35122434059278612</v>
      </c>
    </row>
    <row r="6" spans="1:5" x14ac:dyDescent="0.2">
      <c r="A6" s="4" t="s">
        <v>323</v>
      </c>
      <c r="B6" s="4">
        <v>530316145</v>
      </c>
      <c r="C6" s="4">
        <v>288166402.64999998</v>
      </c>
      <c r="D6" s="4">
        <v>155334918.34999999</v>
      </c>
      <c r="E6" s="4">
        <v>0.29291003077041888</v>
      </c>
    </row>
    <row r="7" spans="1:5" x14ac:dyDescent="0.2">
      <c r="A7" s="4" t="s">
        <v>324</v>
      </c>
      <c r="B7" s="4">
        <v>556831952.25</v>
      </c>
      <c r="C7" s="4">
        <v>301888612.30000001</v>
      </c>
      <c r="D7" s="4">
        <v>168128515.94999999</v>
      </c>
      <c r="E7" s="4">
        <v>0.30193762277944058</v>
      </c>
    </row>
  </sheetData>
  <autoFilter ref="A1:E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tabSelected="1" zoomScaleNormal="100" workbookViewId="0">
      <selection activeCell="C11" sqref="C11"/>
    </sheetView>
  </sheetViews>
  <sheetFormatPr baseColWidth="10" defaultColWidth="8.83203125" defaultRowHeight="15" x14ac:dyDescent="0.2"/>
  <cols>
    <col min="1" max="1" width="13.6640625" bestFit="1" customWidth="1"/>
    <col min="2" max="2" width="35.1640625" bestFit="1" customWidth="1"/>
    <col min="3" max="3" width="32.33203125" bestFit="1" customWidth="1"/>
  </cols>
  <sheetData>
    <row r="1" spans="1:3" x14ac:dyDescent="0.2">
      <c r="A1" s="5" t="s">
        <v>309</v>
      </c>
      <c r="B1" s="5" t="s">
        <v>325</v>
      </c>
      <c r="C1" s="5" t="s">
        <v>326</v>
      </c>
    </row>
    <row r="2" spans="1:3" x14ac:dyDescent="0.2">
      <c r="A2" s="4" t="s">
        <v>17</v>
      </c>
      <c r="B2" s="4" t="s">
        <v>327</v>
      </c>
      <c r="C2" s="4" t="s">
        <v>328</v>
      </c>
    </row>
    <row r="3" spans="1:3" x14ac:dyDescent="0.2">
      <c r="A3" s="4" t="s">
        <v>329</v>
      </c>
      <c r="B3" s="4" t="s">
        <v>330</v>
      </c>
      <c r="C3" s="4" t="s">
        <v>331</v>
      </c>
    </row>
    <row r="4" spans="1:3" x14ac:dyDescent="0.2">
      <c r="A4" s="4" t="s">
        <v>20</v>
      </c>
      <c r="B4" s="4" t="s">
        <v>332</v>
      </c>
      <c r="C4" s="4" t="s">
        <v>333</v>
      </c>
    </row>
    <row r="5" spans="1:3" x14ac:dyDescent="0.2">
      <c r="A5" s="4" t="s">
        <v>21</v>
      </c>
      <c r="B5" s="4" t="s">
        <v>334</v>
      </c>
      <c r="C5" s="4" t="s">
        <v>335</v>
      </c>
    </row>
    <row r="6" spans="1:3" x14ac:dyDescent="0.2">
      <c r="A6" s="4" t="s">
        <v>22</v>
      </c>
      <c r="B6" s="4" t="s">
        <v>336</v>
      </c>
      <c r="C6" s="4" t="s">
        <v>337</v>
      </c>
    </row>
    <row r="7" spans="1:3" x14ac:dyDescent="0.2">
      <c r="A7" s="4" t="s">
        <v>23</v>
      </c>
      <c r="B7" s="4" t="s">
        <v>338</v>
      </c>
      <c r="C7" s="4" t="s">
        <v>339</v>
      </c>
    </row>
    <row r="8" spans="1:3" x14ac:dyDescent="0.2">
      <c r="A8" s="4" t="s">
        <v>340</v>
      </c>
      <c r="B8" s="4" t="s">
        <v>341</v>
      </c>
      <c r="C8" s="4" t="s">
        <v>342</v>
      </c>
    </row>
    <row r="9" spans="1:3" x14ac:dyDescent="0.2">
      <c r="A9" s="4" t="s">
        <v>343</v>
      </c>
      <c r="B9" s="4" t="s">
        <v>344</v>
      </c>
      <c r="C9" s="4" t="s">
        <v>345</v>
      </c>
    </row>
    <row r="10" spans="1:3" x14ac:dyDescent="0.2">
      <c r="A10" s="4" t="s">
        <v>346</v>
      </c>
      <c r="B10" s="4" t="s">
        <v>347</v>
      </c>
      <c r="C10" s="4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Executive Dashboard</vt:lpstr>
      <vt:lpstr>Sales_Orders</vt:lpstr>
      <vt:lpstr>Monthly_PnL</vt:lpstr>
      <vt:lpstr>Product_Profitability</vt:lpstr>
      <vt:lpstr>Working_Capital</vt:lpstr>
      <vt:lpstr>Scenario_Analysis</vt:lpstr>
      <vt:lpstr>Finance_Formulas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PRAMODKUMAR A GOUNDI</cp:lastModifiedBy>
  <dcterms:created xsi:type="dcterms:W3CDTF">2026-10-08T13:41:54Z</dcterms:created>
  <dcterms:modified xsi:type="dcterms:W3CDTF">2026-10-08T13:52:28Z</dcterms:modified>
</cp:coreProperties>
</file>